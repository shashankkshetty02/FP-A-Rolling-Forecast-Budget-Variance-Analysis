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D1D5F4E-AE86-4265-B233-6F63D40F155E}" xr6:coauthVersionLast="47" xr6:coauthVersionMax="47" xr10:uidLastSave="{00000000-0000-0000-0000-000000000000}"/>
  <bookViews>
    <workbookView xWindow="-108" yWindow="-108" windowWidth="23256" windowHeight="13176" tabRatio="667" activeTab="2" xr2:uid="{00000000-000D-0000-FFFF-FFFF00000000}"/>
  </bookViews>
  <sheets>
    <sheet name="Theory" sheetId="1" r:id="rId1"/>
    <sheet name="Exercise" sheetId="2" r:id="rId2"/>
    <sheet name="Solution" sheetId="3" r:id="rId3"/>
  </sheets>
  <definedNames>
    <definedName name="_xlnm.Print_Area" localSheetId="1">Exercise!$A$1:$O$67</definedName>
  </definedName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2" l="1"/>
  <c r="M51" i="2"/>
  <c r="L51" i="2"/>
  <c r="K51" i="2"/>
  <c r="M50" i="2"/>
  <c r="L50" i="2"/>
  <c r="K50" i="2"/>
  <c r="J51" i="2"/>
  <c r="I51" i="2"/>
  <c r="H51" i="2"/>
  <c r="G51" i="2"/>
  <c r="F51" i="2"/>
  <c r="E51" i="2"/>
  <c r="D51" i="2"/>
  <c r="J50" i="2"/>
  <c r="I50" i="2"/>
  <c r="H50" i="2"/>
  <c r="G50" i="2"/>
  <c r="F50" i="2"/>
  <c r="E50" i="2"/>
  <c r="D50" i="2"/>
  <c r="C51" i="2"/>
  <c r="C50" i="2"/>
  <c r="B51" i="2"/>
  <c r="N51" i="2" s="1"/>
  <c r="B50" i="2"/>
  <c r="N50" i="2" s="1"/>
  <c r="B44" i="2"/>
  <c r="C10" i="3"/>
  <c r="D10" i="3"/>
  <c r="E10" i="3"/>
  <c r="F10" i="3"/>
  <c r="G10" i="3"/>
  <c r="H10" i="3"/>
  <c r="I10" i="3"/>
  <c r="J10" i="3"/>
  <c r="K10" i="3"/>
  <c r="L10" i="3"/>
  <c r="M10" i="3"/>
  <c r="B10" i="3"/>
  <c r="E20" i="2"/>
  <c r="E19" i="2"/>
  <c r="E18" i="2"/>
  <c r="E17" i="2"/>
  <c r="E16" i="2"/>
  <c r="D15" i="2"/>
  <c r="C15" i="2"/>
  <c r="B15" i="2"/>
  <c r="E14" i="2"/>
  <c r="E13" i="2"/>
  <c r="E12" i="2"/>
  <c r="B26" i="3"/>
  <c r="B25" i="3"/>
  <c r="M18" i="3"/>
  <c r="L18" i="3"/>
  <c r="K18" i="3"/>
  <c r="J18" i="3"/>
  <c r="I18" i="3"/>
  <c r="H18" i="3"/>
  <c r="G18" i="3"/>
  <c r="F18" i="3"/>
  <c r="E18" i="3"/>
  <c r="D18" i="3"/>
  <c r="C18" i="3"/>
  <c r="B18" i="3"/>
  <c r="M17" i="3"/>
  <c r="L17" i="3"/>
  <c r="K17" i="3"/>
  <c r="J17" i="3"/>
  <c r="I17" i="3"/>
  <c r="H17" i="3"/>
  <c r="G17" i="3"/>
  <c r="F17" i="3"/>
  <c r="E17" i="3"/>
  <c r="D17" i="3"/>
  <c r="C17" i="3"/>
  <c r="B17" i="3"/>
  <c r="E7" i="3"/>
  <c r="D7" i="3"/>
  <c r="C7" i="3"/>
  <c r="B7" i="3"/>
  <c r="D6" i="3"/>
  <c r="C6" i="3"/>
  <c r="B6" i="3"/>
  <c r="E5" i="3"/>
  <c r="D5" i="3"/>
  <c r="C5" i="3"/>
  <c r="B5" i="3"/>
  <c r="F4" i="3"/>
  <c r="B46" i="2" l="1"/>
  <c r="C44" i="2"/>
  <c r="B49" i="2"/>
  <c r="D44" i="2"/>
  <c r="B52" i="2"/>
  <c r="B47" i="2"/>
  <c r="B45" i="2"/>
  <c r="E44" i="2"/>
  <c r="D49" i="2"/>
  <c r="D52" i="2" s="1"/>
  <c r="D46" i="2"/>
  <c r="D45" i="2"/>
  <c r="C49" i="2"/>
  <c r="C46" i="2"/>
  <c r="C52" i="2"/>
  <c r="B53" i="2"/>
  <c r="B27" i="3"/>
  <c r="N18" i="3"/>
  <c r="N17" i="3"/>
  <c r="B11" i="3"/>
  <c r="F5" i="3"/>
  <c r="E15" i="2"/>
  <c r="E6" i="3" s="1"/>
  <c r="C45" i="2" l="1"/>
  <c r="B54" i="2"/>
  <c r="E46" i="2"/>
  <c r="F44" i="2"/>
  <c r="E49" i="2"/>
  <c r="D47" i="2"/>
  <c r="D53" i="2"/>
  <c r="D54" i="2" s="1"/>
  <c r="C47" i="2"/>
  <c r="C53" i="2"/>
  <c r="B16" i="3"/>
  <c r="C11" i="3"/>
  <c r="B12" i="3"/>
  <c r="B13" i="3" s="1"/>
  <c r="F6" i="3"/>
  <c r="E52" i="2" l="1"/>
  <c r="C54" i="2"/>
  <c r="E53" i="2"/>
  <c r="E47" i="2"/>
  <c r="G44" i="2"/>
  <c r="F46" i="2"/>
  <c r="F49" i="2"/>
  <c r="F45" i="2"/>
  <c r="E45" i="2"/>
  <c r="B19" i="3"/>
  <c r="C12" i="3"/>
  <c r="C16" i="3"/>
  <c r="C19" i="3" s="1"/>
  <c r="D11" i="3"/>
  <c r="C13" i="3"/>
  <c r="B14" i="3"/>
  <c r="E54" i="2" l="1"/>
  <c r="F52" i="2"/>
  <c r="F53" i="2" s="1"/>
  <c r="G49" i="2"/>
  <c r="H44" i="2"/>
  <c r="G46" i="2"/>
  <c r="F47" i="2"/>
  <c r="D12" i="3"/>
  <c r="D16" i="3"/>
  <c r="E11" i="3"/>
  <c r="C20" i="3"/>
  <c r="C21" i="3" s="1"/>
  <c r="C14" i="3"/>
  <c r="B20" i="3"/>
  <c r="B21" i="3" s="1"/>
  <c r="G52" i="2" l="1"/>
  <c r="G53" i="2" s="1"/>
  <c r="F54" i="2"/>
  <c r="H49" i="2"/>
  <c r="I44" i="2"/>
  <c r="H46" i="2"/>
  <c r="G47" i="2"/>
  <c r="G45" i="2"/>
  <c r="D19" i="3"/>
  <c r="E12" i="3"/>
  <c r="E16" i="3"/>
  <c r="E19" i="3" s="1"/>
  <c r="F11" i="3"/>
  <c r="E13" i="3"/>
  <c r="D13" i="3"/>
  <c r="H52" i="2" l="1"/>
  <c r="G54" i="2"/>
  <c r="J44" i="2"/>
  <c r="I46" i="2"/>
  <c r="I49" i="2"/>
  <c r="H47" i="2"/>
  <c r="H53" i="2"/>
  <c r="H45" i="2"/>
  <c r="F12" i="3"/>
  <c r="F16" i="3"/>
  <c r="F19" i="3" s="1"/>
  <c r="G11" i="3"/>
  <c r="E20" i="3"/>
  <c r="E21" i="3" s="1"/>
  <c r="E14" i="3"/>
  <c r="D20" i="3"/>
  <c r="D21" i="3" s="1"/>
  <c r="D14" i="3"/>
  <c r="K44" i="2" l="1"/>
  <c r="I52" i="2"/>
  <c r="H54" i="2"/>
  <c r="J46" i="2"/>
  <c r="J49" i="2"/>
  <c r="J52" i="2" s="1"/>
  <c r="I53" i="2"/>
  <c r="I54" i="2" s="1"/>
  <c r="I47" i="2"/>
  <c r="I45" i="2"/>
  <c r="G12" i="3"/>
  <c r="G16" i="3"/>
  <c r="H11" i="3"/>
  <c r="F13" i="3"/>
  <c r="L44" i="2" l="1"/>
  <c r="K46" i="2"/>
  <c r="K45" i="2" s="1"/>
  <c r="K49" i="2"/>
  <c r="J47" i="2"/>
  <c r="J53" i="2"/>
  <c r="J45" i="2"/>
  <c r="G19" i="3"/>
  <c r="H12" i="3"/>
  <c r="H16" i="3"/>
  <c r="H19" i="3" s="1"/>
  <c r="I11" i="3"/>
  <c r="F20" i="3"/>
  <c r="F21" i="3" s="1"/>
  <c r="F14" i="3"/>
  <c r="G13" i="3"/>
  <c r="M44" i="2" l="1"/>
  <c r="N44" i="2" s="1"/>
  <c r="L46" i="2"/>
  <c r="L49" i="2"/>
  <c r="K47" i="2"/>
  <c r="K52" i="2"/>
  <c r="K53" i="2" s="1"/>
  <c r="J54" i="2"/>
  <c r="J11" i="3"/>
  <c r="I12" i="3"/>
  <c r="I16" i="3"/>
  <c r="G14" i="3"/>
  <c r="G20" i="3"/>
  <c r="G21" i="3" s="1"/>
  <c r="H13" i="3"/>
  <c r="M46" i="2" l="1"/>
  <c r="N46" i="2" s="1"/>
  <c r="N47" i="2" s="1"/>
  <c r="M49" i="2"/>
  <c r="M45" i="2"/>
  <c r="L53" i="2"/>
  <c r="L47" i="2"/>
  <c r="L45" i="2"/>
  <c r="L52" i="2"/>
  <c r="K54" i="2"/>
  <c r="J12" i="3"/>
  <c r="J13" i="3"/>
  <c r="J16" i="3"/>
  <c r="J19" i="3" s="1"/>
  <c r="K11" i="3"/>
  <c r="I19" i="3"/>
  <c r="H20" i="3"/>
  <c r="H21" i="3" s="1"/>
  <c r="H14" i="3"/>
  <c r="I13" i="3"/>
  <c r="N45" i="2" l="1"/>
  <c r="M47" i="2"/>
  <c r="M52" i="2"/>
  <c r="N49" i="2"/>
  <c r="L54" i="2"/>
  <c r="J14" i="3"/>
  <c r="J20" i="3"/>
  <c r="J21" i="3" s="1"/>
  <c r="K12" i="3"/>
  <c r="K13" i="3"/>
  <c r="K16" i="3"/>
  <c r="L11" i="3"/>
  <c r="I20" i="3"/>
  <c r="I21" i="3" s="1"/>
  <c r="I14" i="3"/>
  <c r="M53" i="2" l="1"/>
  <c r="N52" i="2"/>
  <c r="N54" i="2" s="1"/>
  <c r="K14" i="3"/>
  <c r="K19" i="3"/>
  <c r="K20" i="3" s="1"/>
  <c r="K21" i="3" s="1"/>
  <c r="M11" i="3"/>
  <c r="L12" i="3"/>
  <c r="L13" i="3" s="1"/>
  <c r="L16" i="3"/>
  <c r="L19" i="3" s="1"/>
  <c r="N53" i="2" l="1"/>
  <c r="M54" i="2"/>
  <c r="N11" i="3"/>
  <c r="C25" i="3" s="1"/>
  <c r="D25" i="3" s="1"/>
  <c r="E25" i="3" s="1"/>
  <c r="M12" i="3"/>
  <c r="M16" i="3"/>
  <c r="L14" i="3"/>
  <c r="L20" i="3"/>
  <c r="L21" i="3" s="1"/>
  <c r="N12" i="3" l="1"/>
  <c r="M13" i="3"/>
  <c r="M19" i="3"/>
  <c r="N16" i="3"/>
  <c r="N19" i="3" s="1"/>
  <c r="M14" i="3"/>
  <c r="M20" i="3"/>
  <c r="M21" i="3" s="1"/>
  <c r="N13" i="3"/>
  <c r="N14" i="3" l="1"/>
  <c r="N20" i="3"/>
  <c r="N21" i="3" l="1"/>
  <c r="C26" i="3"/>
  <c r="D26" i="3" l="1"/>
  <c r="E26" i="3" s="1"/>
  <c r="C27" i="3"/>
  <c r="D27" i="3" s="1"/>
  <c r="E27" i="3" s="1"/>
</calcChain>
</file>

<file path=xl/sharedStrings.xml><?xml version="1.0" encoding="utf-8"?>
<sst xmlns="http://schemas.openxmlformats.org/spreadsheetml/2006/main" count="224" uniqueCount="185">
  <si>
    <t>Completed 12-Month Rolling Forecast with Analysis</t>
  </si>
  <si>
    <t>Q1 2026 Actuals (Reference)</t>
  </si>
  <si>
    <t>Line Item</t>
  </si>
  <si>
    <t>Jan 2026</t>
  </si>
  <si>
    <t>Feb 2026</t>
  </si>
  <si>
    <t>Mar 2026</t>
  </si>
  <si>
    <t>Q1 Total</t>
  </si>
  <si>
    <t>Revenue</t>
  </si>
  <si>
    <t>Gross Margin %</t>
  </si>
  <si>
    <t>EBITDA</t>
  </si>
  <si>
    <t>Rolling Forecast (Apr 2026 - Mar 2026) with Formulas</t>
  </si>
  <si>
    <t>12M Total</t>
  </si>
  <si>
    <t>Cost of Goods Sold</t>
  </si>
  <si>
    <t>Gross Profit</t>
  </si>
  <si>
    <t>Operating Expenses:</t>
  </si>
  <si>
    <t xml:space="preserve">  Sales &amp; Marketing</t>
  </si>
  <si>
    <t xml:space="preserve">  Research &amp; Development</t>
  </si>
  <si>
    <t xml:space="preserve">  General &amp; Administrative</t>
  </si>
  <si>
    <t>Total Operating Expenses</t>
  </si>
  <si>
    <t>EBITDA Margin %</t>
  </si>
  <si>
    <t>Variance Analysis: Forecast vs Original Budget</t>
  </si>
  <si>
    <t>Metric</t>
  </si>
  <si>
    <t>Original FY2026 Budget</t>
  </si>
  <si>
    <t>Rolling 12M Forecast</t>
  </si>
  <si>
    <t>Variance ($)</t>
  </si>
  <si>
    <t>Variance (pp)</t>
  </si>
  <si>
    <t>Key Insights &amp; Commentary</t>
  </si>
  <si>
    <t>1. Revenue Trajectory:</t>
  </si>
  <si>
    <t>The rolling 12-month forecast (Apr 2026 – Mar 2026) projects $4.87M in revenue, which is $672K (+16%) HIGHER than the original FY2026 full-year budget of $4.2M. However, this comparison is not apples-to-apples: the budget covers Jan–Dec 2026 while the rolling forecast covers Apr 2026–Mar 2026, which includes three additional Q1 2026 months growing at 5%. On a comparable basis (Apr–Dec 2026 only), the forecast of $3.41M is modestly ahead of the implied budget remainder of $3.32M (+$97K, +3%) — reflecting slower-than-budgeted monthly growth (4% vs 5%) offset by a stronger-than-expected Q1 actuals base.</t>
  </si>
  <si>
    <t>2. Profitability Timeline:</t>
  </si>
  <si>
    <t>EBITDA turns positive starting Jul-25 and improves steadily through Mar-26. EBITDA Margin improves from -3.3% in Apr-25 to 11.6% by Mar-26. Rolling 12-month EBITDA totals $242k, compared to budgeted EBITDA of $150k. This indicates the business is expected to cross operating breakeven mid-year and achieve increasing operating leverage as revenue scales.</t>
  </si>
  <si>
    <t>3. Operating Leverage:</t>
  </si>
  <si>
    <t>With 70% gross margin and operating expenses growing at a slower pace than revenue, operating leverage is clearly visible. Gross profit grows faster than operating expenses. EBITDA margin expands by ~15 percentage points across the forecast horizon. This suggests the company’s cost structure is scalable, assuming expense discipline is maintained.</t>
  </si>
  <si>
    <t>4. Key Assumptions &amp; Risks:</t>
  </si>
  <si>
    <t>• Revenue growth rate (4% then 5%): Risk if market deteriorates further</t>
  </si>
  <si>
    <t>• Gross margin maintenance at 70%: Dependent on pricing power and COGS control</t>
  </si>
  <si>
    <t>• Sales &amp; Marketing grows in line with revenue</t>
  </si>
  <si>
    <t>• R&amp;D and G&amp;A largely fixed, supporting margin expansion</t>
  </si>
  <si>
    <t>Recommendations for Management</t>
  </si>
  <si>
    <t>1. Protect revenue momentum: Sales execution and pipeline health should be top priorities.</t>
  </si>
  <si>
    <t>2. Focus on gross margin: The 70% margin is a competitive advantage - protect it</t>
  </si>
  <si>
    <t>3. Maintain OpEx discipline: Allow fixed costs (R&amp;D, G&amp;A) to grow slower than revenue to preserve operating leverage.</t>
  </si>
  <si>
    <t>4. Plan for Q1 2026 investments: To achieve 5% growth, may need sales &amp; marketing investments in Q4 2026</t>
  </si>
  <si>
    <t>5. Implement monthly reforecasting: Update the rolling forecast each month as actuals come in</t>
  </si>
  <si>
    <t>Forecasting &amp; Scenario Analysis: Theory &amp; Frameworks</t>
  </si>
  <si>
    <t>1. Budget vs Forecast: Key Differences</t>
  </si>
  <si>
    <t>Dimension</t>
  </si>
  <si>
    <t>Budget</t>
  </si>
  <si>
    <t>Forecast</t>
  </si>
  <si>
    <t>Definition</t>
  </si>
  <si>
    <t>Annual financial plan &amp; target</t>
  </si>
  <si>
    <t>Updated projection of future performance</t>
  </si>
  <si>
    <t>Purpose</t>
  </si>
  <si>
    <t>Goal-setting, resource allocation, accountability</t>
  </si>
  <si>
    <t>Planning tool, early warning system, decision support</t>
  </si>
  <si>
    <t>Time Horizon</t>
  </si>
  <si>
    <t>Fixed 12 months (fiscal year)</t>
  </si>
  <si>
    <t>Rolling 12-18+ months, continuous</t>
  </si>
  <si>
    <t>Update Frequency</t>
  </si>
  <si>
    <t>Once per year</t>
  </si>
  <si>
    <t>Monthly or quarterly</t>
  </si>
  <si>
    <t>Flexibility</t>
  </si>
  <si>
    <t>Static, rarely changed mid-year</t>
  </si>
  <si>
    <t>Dynamic, adjusted for new information</t>
  </si>
  <si>
    <t>Accuracy</t>
  </si>
  <si>
    <t>Less accurate (made far in advance)</t>
  </si>
  <si>
    <t>More accurate (incorporates actuals)</t>
  </si>
  <si>
    <t>Detail Level</t>
  </si>
  <si>
    <t>Highly detailed by department</t>
  </si>
  <si>
    <t>Can be high-level or detailed</t>
  </si>
  <si>
    <t>Accountability</t>
  </si>
  <si>
    <t>Performance measurement, bonuses tied to budget</t>
  </si>
  <si>
    <t>Planning only, not performance evaluation</t>
  </si>
  <si>
    <t>2. What is a Rolling Forecast?</t>
  </si>
  <si>
    <t>Definition:</t>
  </si>
  <si>
    <t>A rolling forecast is a continuous projection that extends a fixed period into the future (typically 12-18 months) and is updated regularly (monthly or quarterly). As each period ends, a new period is added to maintain the forward-looking horizon.</t>
  </si>
  <si>
    <t>How It Works:</t>
  </si>
  <si>
    <t>Example: In January 2026, you forecast through December 2026 (12 months ahead)</t>
  </si>
  <si>
    <t>In February 2026, you forecast through January 2026 (still 12 months ahead)</t>
  </si>
  <si>
    <t>In March 2026, you forecast through February 2026 (always 12 months ahead)</t>
  </si>
  <si>
    <t>This 'rolling' approach ensures you always have visibility into the next 12 months</t>
  </si>
  <si>
    <t>Key Benefits:</t>
  </si>
  <si>
    <t>• Continuous planning - no year-end cliff</t>
  </si>
  <si>
    <t>• Incorporates actual results and trends as they emerge</t>
  </si>
  <si>
    <t>• Enables proactive decision-making vs reactive</t>
  </si>
  <si>
    <t>• Reduces 'hockey stick' syndrome of annual budgets</t>
  </si>
  <si>
    <t>• Aligns with agile business environment</t>
  </si>
  <si>
    <t>Rolling Forecast vs Annual Budget:</t>
  </si>
  <si>
    <t>Best Practice: Use BOTH - Budget for accountability, Rolling Forecast for planning</t>
  </si>
  <si>
    <t>Budget = 'What we committed to achieve' | Forecast = 'What we expect to happen'</t>
  </si>
  <si>
    <t>3. Scenario Planning Framework</t>
  </si>
  <si>
    <t>Scenario planning involves creating multiple forecast versions based on different assumptions to prepare for various possible futures. The standard framework uses three scenarios:</t>
  </si>
  <si>
    <t>Scenario Type</t>
  </si>
  <si>
    <t>Description</t>
  </si>
  <si>
    <t>Typical Use</t>
  </si>
  <si>
    <t>Best Case (Upside)</t>
  </si>
  <si>
    <t>Optimistic assumptions - everything goes right. Higher revenue growth, lower costs, favorable market conditions.</t>
  </si>
  <si>
    <t>Prepare for growth: hiring plans, capacity expansion, inventory buildup</t>
  </si>
  <si>
    <t>Base Case (Most Likely)</t>
  </si>
  <si>
    <t>Realistic assumptions - most probable outcome based on current trends and known factors.</t>
  </si>
  <si>
    <t>Primary planning scenario: budget allocation, performance targets, guidance to stakeholders</t>
  </si>
  <si>
    <t>Worst Case (Downside)</t>
  </si>
  <si>
    <t>Pessimistic assumptions - challenges emerge. Lower revenue, higher costs, adverse market conditions.</t>
  </si>
  <si>
    <t>Risk mitigation: cost reduction plans, cash preservation, contingency planning</t>
  </si>
  <si>
    <t>Key Assumptions to Scenario Plan:</t>
  </si>
  <si>
    <t>• Revenue growth rates (market demand, competition, pricing)</t>
  </si>
  <si>
    <t>• Customer acquisition and retention (churn rates, CAC)</t>
  </si>
  <si>
    <t>• Cost structure (COGS margins, operating leverage)</t>
  </si>
  <si>
    <t>• Macroeconomic factors (interest rates, inflation, FX rates)</t>
  </si>
  <si>
    <t>• Operational factors (headcount, productivity, capacity utilization)</t>
  </si>
  <si>
    <t>4. Sensitivity Analysis</t>
  </si>
  <si>
    <t>Sensitivity analysis tests how changes in key assumptions (input variables) impact financial outcomes (output metrics like revenue, EBITDA, cash flow). Identifies which drivers have the greatest impact.</t>
  </si>
  <si>
    <t>Process:</t>
  </si>
  <si>
    <t>1. Identify key value drivers (revenue growth rate, gross margin, OpEx ratio)</t>
  </si>
  <si>
    <t>2. Define reasonable range for each driver (+/- 10%, +/- 20%, etc.)</t>
  </si>
  <si>
    <t>3. Calculate impact on outcome metrics (change in EBITDA, cash balance)</t>
  </si>
  <si>
    <t>4. Rank drivers by sensitivity - which has biggest impact?</t>
  </si>
  <si>
    <t>5. Focus management attention on high-sensitivity drivers</t>
  </si>
  <si>
    <t>Example: If 1% change in gross margin impacts EBITDA by $500K, but 1% change in revenue growth impacts EBITDA by $200K, then gross margin is higher priority for management focus.</t>
  </si>
  <si>
    <t>5. Variance Analysis in Forecasting</t>
  </si>
  <si>
    <t>In forecasting context, variance analysis compares:</t>
  </si>
  <si>
    <t>• Forecast vs Actual: How accurate was our projection?</t>
  </si>
  <si>
    <t>• Latest Forecast vs Prior Forecast: What changed and why?</t>
  </si>
  <si>
    <t>• Forecast vs Budget: Are we tracking to original targets?</t>
  </si>
  <si>
    <t>Key Questions to Answer:</t>
  </si>
  <si>
    <t>1. What was the variance ($ and %)?</t>
  </si>
  <si>
    <t>2. What drove the variance? (volume, price, mix, timing, etc.)</t>
  </si>
  <si>
    <t>3. Is the variance temporary or permanent?</t>
  </si>
  <si>
    <t>4. What actions should we take in response?</t>
  </si>
  <si>
    <t>5. How should we adjust our forward forecast?</t>
  </si>
  <si>
    <t>6. FP&amp;A Best Practices for Forecasting</t>
  </si>
  <si>
    <t>• Start with actuals: Use year-to-date performance as foundation</t>
  </si>
  <si>
    <t>• Driver-based models: Link forecast to operational KPIs (units, headcount, capacity)</t>
  </si>
  <si>
    <t>• Probability-weighted scenarios: If base case is 60% likely, best 25%, worst 15%</t>
  </si>
  <si>
    <t>• Document assumptions clearly: Every forecast version needs assumption summary</t>
  </si>
  <si>
    <t>• Track forecast accuracy: Build credibility by measuring and improving over time</t>
  </si>
  <si>
    <t>• Involve business partners: FP&amp;A shouldn't forecast in isolation</t>
  </si>
  <si>
    <t>• Focus on trends, not precision: Direction matters more than exact numbers</t>
  </si>
  <si>
    <t>• Communicate ranges: 'Revenue will be $10-12M' vs '$10.5M exactly'</t>
  </si>
  <si>
    <t>• Update based on leading indicators: Don't wait for lagging financials</t>
  </si>
  <si>
    <t>• Present actionable insights: Forecast should drive decisions, not just inform</t>
  </si>
  <si>
    <t>Task: You are the FP&amp;A Analyst at TechFlow Inc. It's March 2026. Build a rolling forecast for Apr 2026 - Mar 2026</t>
  </si>
  <si>
    <t>Context &amp; Current Situation</t>
  </si>
  <si>
    <t>• Today is March 31, 2026. You have actuals for Jan-Mar 2026.</t>
  </si>
  <si>
    <t>• Original FY2026 budget was created in December 2026 (before the year started).</t>
  </si>
  <si>
    <t>• Q1 performance shows you're trending behind budget on revenue but ahead on cost control.</t>
  </si>
  <si>
    <t>• You need to update the forecast for the remaining 9 months (Apr-Dec 2026) plus add Q1 2026 (Jan-Mar 2026).</t>
  </si>
  <si>
    <t>Q1 2026 Actuals (Jan-Mar)</t>
  </si>
  <si>
    <t>Operating Expenses</t>
  </si>
  <si>
    <t>Original FY2026 Budget (for comparison)</t>
  </si>
  <si>
    <t>The budget assumed 5% monthly revenue growth and 68% gross margin. Q1 actuals show slower growth but better margin control.</t>
  </si>
  <si>
    <t>Budget Line Item</t>
  </si>
  <si>
    <t>Q1 Budget</t>
  </si>
  <si>
    <t>Full Year Budget</t>
  </si>
  <si>
    <t>Complete the table below using these updated assumptions:</t>
  </si>
  <si>
    <t>Updated Assumptions (as of Mar 31, 2026):</t>
  </si>
  <si>
    <t>Assumption</t>
  </si>
  <si>
    <t>Value</t>
  </si>
  <si>
    <t>Notes</t>
  </si>
  <si>
    <t>Revenue Growth Rate (Apr-Dec 2026)</t>
  </si>
  <si>
    <t>4% monthly (revised down from budget)</t>
  </si>
  <si>
    <t>Revenue Growth Rate (Jan-Mar 2026)</t>
  </si>
  <si>
    <t>Maintain Q1 performance</t>
  </si>
  <si>
    <t>S&amp;M % of Revenue</t>
  </si>
  <si>
    <t>(cost control initiative)</t>
  </si>
  <si>
    <t>R&amp;D</t>
  </si>
  <si>
    <t>(continued investment)</t>
  </si>
  <si>
    <t>G&amp;A</t>
  </si>
  <si>
    <t>(fixed costs)</t>
  </si>
  <si>
    <t>Rolling Forecast Template (Complete the shaded cells)</t>
  </si>
  <si>
    <t>Instructions:</t>
  </si>
  <si>
    <t>1. Start April revenue using March actual as base, then apply 4% monthly growth through December</t>
  </si>
  <si>
    <t>4. Apply operating expense percentages to each month's revenue</t>
  </si>
  <si>
    <t>5. Calculate EBITDA and margins</t>
  </si>
  <si>
    <t>Analysis Questions</t>
  </si>
  <si>
    <t>After completing your forecast, answer:</t>
  </si>
  <si>
    <t>1. How does your 12-month forecast compare to the original FY2026 budget?</t>
  </si>
  <si>
    <t>2. When do you forecast breaking even (positive EBITDA)?</t>
  </si>
  <si>
    <t>3. What is the biggest risk to your forecast assumptions?</t>
  </si>
  <si>
    <t>6% monthly (expecting acceleration)</t>
  </si>
  <si>
    <t xml:space="preserve"> Build Rolling Forecast (Apr 2026 - Mar 2027)</t>
  </si>
  <si>
    <t xml:space="preserve"> Build a 12-Month Rolling Forecast</t>
  </si>
  <si>
    <t>2. Apply 6% growth for Jan-Mar 2026</t>
  </si>
  <si>
    <t>3. Calculate COGS to maintain 71% gross margin</t>
  </si>
  <si>
    <t>6. Sum the 12-month total (Apr 2026 - Mar 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</si>
</sst>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\-??_);_(@_)"/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ptos Narrow"/>
      <family val="2"/>
      <charset val="1"/>
    </font>
    <font>
      <b/>
      <sz val="14"/>
      <color rgb="FFFFFFFF"/>
      <name val="Aptos Narrow"/>
      <family val="2"/>
      <charset val="1"/>
    </font>
    <font>
      <sz val="11"/>
      <name val="Aptos Narrow"/>
      <family val="2"/>
      <charset val="1"/>
    </font>
    <font>
      <b/>
      <sz val="11"/>
      <name val="Aptos Narrow"/>
      <family val="2"/>
      <charset val="1"/>
    </font>
    <font>
      <i/>
      <sz val="11"/>
      <name val="Aptos Narrow"/>
      <family val="2"/>
      <charset val="1"/>
    </font>
    <font>
      <b/>
      <sz val="14"/>
      <name val="Aptos Narrow"/>
      <family val="2"/>
      <charset val="1"/>
    </font>
    <font>
      <sz val="11"/>
      <name val="Calibri"/>
      <family val="2"/>
      <charset val="1"/>
    </font>
    <font>
      <b/>
      <sz val="14"/>
      <color rgb="FF000000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3761AD"/>
      </patternFill>
    </fill>
    <fill>
      <patternFill patternType="solid">
        <fgColor rgb="FF4472C4"/>
        <bgColor rgb="FF2E75B6"/>
      </patternFill>
    </fill>
    <fill>
      <patternFill patternType="solid">
        <fgColor rgb="FFD9E1F2"/>
        <bgColor rgb="FFD9D9D9"/>
      </patternFill>
    </fill>
    <fill>
      <patternFill patternType="solid">
        <fgColor rgb="FF70AD47"/>
        <bgColor rgb="FF60983B"/>
      </patternFill>
    </fill>
    <fill>
      <patternFill patternType="solid">
        <fgColor rgb="FFD9D9D9"/>
        <bgColor rgb="FFD9E1F2"/>
      </patternFill>
    </fill>
    <fill>
      <patternFill patternType="solid">
        <fgColor rgb="FFADD8E6"/>
        <bgColor rgb="FFBDD7EE"/>
      </patternFill>
    </fill>
    <fill>
      <patternFill patternType="solid">
        <fgColor rgb="FFF0F0F0"/>
        <bgColor rgb="FFFFF2CC"/>
      </patternFill>
    </fill>
    <fill>
      <patternFill patternType="solid">
        <fgColor rgb="FFFFA500"/>
        <bgColor rgb="FFDDA700"/>
      </patternFill>
    </fill>
    <fill>
      <patternFill patternType="solid">
        <fgColor rgb="FFFFFFE0"/>
        <bgColor rgb="FFFFFFFF"/>
      </patternFill>
    </fill>
    <fill>
      <patternFill patternType="solid">
        <fgColor rgb="FF90EE90"/>
        <bgColor rgb="FFC6E0B4"/>
      </patternFill>
    </fill>
    <fill>
      <patternFill patternType="solid">
        <fgColor rgb="FFFFC000"/>
        <bgColor rgb="FFFFA500"/>
      </patternFill>
    </fill>
    <fill>
      <patternFill patternType="solid">
        <fgColor rgb="FFED7D31"/>
        <bgColor rgb="FFD26B26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top"/>
    </xf>
    <xf numFmtId="9" fontId="9" fillId="0" borderId="0" applyFont="0" applyFill="0" applyBorder="0" applyAlignment="0" applyProtection="0"/>
  </cellStyleXfs>
  <cellXfs count="50">
    <xf numFmtId="0" fontId="0" fillId="0" borderId="0" xfId="0">
      <alignment vertical="top"/>
    </xf>
    <xf numFmtId="0" fontId="0" fillId="0" borderId="0" xfId="0" applyAlignment="1"/>
    <xf numFmtId="0" fontId="4" fillId="0" borderId="0" xfId="0" applyFont="1" applyAlignment="1">
      <alignment horizontal="left" vertical="top"/>
    </xf>
    <xf numFmtId="0" fontId="4" fillId="6" borderId="0" xfId="0" applyFont="1" applyFill="1" applyAlignment="1">
      <alignment horizontal="center" vertical="center"/>
    </xf>
    <xf numFmtId="0" fontId="4" fillId="0" borderId="0" xfId="0" applyFont="1">
      <alignment vertical="top"/>
    </xf>
    <xf numFmtId="0" fontId="3" fillId="0" borderId="0" xfId="0" applyFont="1">
      <alignment vertical="top"/>
    </xf>
    <xf numFmtId="0" fontId="3" fillId="0" borderId="0" xfId="0" applyFont="1" applyAlignment="1">
      <alignment vertical="top" shrinkToFit="1"/>
    </xf>
    <xf numFmtId="0" fontId="4" fillId="8" borderId="0" xfId="0" applyFont="1" applyFill="1" applyAlignment="1">
      <alignment horizontal="center" vertical="center"/>
    </xf>
    <xf numFmtId="49" fontId="7" fillId="0" borderId="0" xfId="0" applyNumberFormat="1" applyFont="1">
      <alignment vertical="top"/>
    </xf>
    <xf numFmtId="164" fontId="7" fillId="0" borderId="0" xfId="0" applyNumberFormat="1" applyFont="1">
      <alignment vertical="top"/>
    </xf>
    <xf numFmtId="10" fontId="7" fillId="0" borderId="0" xfId="0" applyNumberFormat="1" applyFont="1">
      <alignment vertical="top"/>
    </xf>
    <xf numFmtId="49" fontId="7" fillId="0" borderId="0" xfId="0" applyNumberFormat="1" applyFont="1" applyAlignment="1">
      <alignment horizontal="left" vertical="top" indent="1"/>
    </xf>
    <xf numFmtId="0" fontId="4" fillId="10" borderId="0" xfId="0" applyFont="1" applyFill="1" applyAlignment="1">
      <alignment horizontal="left" vertical="center"/>
    </xf>
    <xf numFmtId="0" fontId="7" fillId="10" borderId="0" xfId="0" applyFont="1" applyFill="1">
      <alignment vertical="top"/>
    </xf>
    <xf numFmtId="0" fontId="4" fillId="4" borderId="0" xfId="0" applyFont="1" applyFill="1" applyAlignment="1">
      <alignment horizontal="center" vertical="center"/>
    </xf>
    <xf numFmtId="0" fontId="4" fillId="8" borderId="1" xfId="0" applyFont="1" applyFill="1" applyBorder="1">
      <alignment vertical="top"/>
    </xf>
    <xf numFmtId="164" fontId="4" fillId="8" borderId="1" xfId="0" applyNumberFormat="1" applyFont="1" applyFill="1" applyBorder="1">
      <alignment vertical="top"/>
    </xf>
    <xf numFmtId="0" fontId="4" fillId="4" borderId="0" xfId="0" applyFont="1" applyFill="1" applyAlignment="1">
      <alignment horizontal="center" vertical="center" shrinkToFit="1"/>
    </xf>
    <xf numFmtId="4" fontId="7" fillId="0" borderId="0" xfId="0" applyNumberFormat="1" applyFont="1">
      <alignment vertical="top"/>
    </xf>
    <xf numFmtId="43" fontId="0" fillId="0" borderId="0" xfId="0" applyNumberFormat="1" applyAlignment="1"/>
    <xf numFmtId="164" fontId="0" fillId="0" borderId="0" xfId="0" applyNumberFormat="1" applyAlignment="1"/>
    <xf numFmtId="17" fontId="4" fillId="8" borderId="0" xfId="0" applyNumberFormat="1" applyFont="1" applyFill="1" applyAlignment="1">
      <alignment horizontal="center" vertical="center"/>
    </xf>
    <xf numFmtId="17" fontId="4" fillId="4" borderId="0" xfId="0" applyNumberFormat="1" applyFont="1" applyFill="1" applyAlignment="1">
      <alignment horizontal="center" vertical="center"/>
    </xf>
    <xf numFmtId="43" fontId="7" fillId="10" borderId="0" xfId="0" applyNumberFormat="1" applyFont="1" applyFill="1">
      <alignment vertical="top"/>
    </xf>
    <xf numFmtId="165" fontId="7" fillId="10" borderId="0" xfId="1" applyNumberFormat="1" applyFont="1" applyFill="1" applyAlignment="1">
      <alignment vertical="top"/>
    </xf>
    <xf numFmtId="4" fontId="7" fillId="10" borderId="0" xfId="0" applyNumberFormat="1" applyFont="1" applyFill="1">
      <alignment vertical="top"/>
    </xf>
    <xf numFmtId="49" fontId="12" fillId="0" borderId="1" xfId="0" applyNumberFormat="1" applyFont="1" applyBorder="1">
      <alignment vertical="top"/>
    </xf>
    <xf numFmtId="165" fontId="12" fillId="10" borderId="1" xfId="1" applyNumberFormat="1" applyFont="1" applyFill="1" applyBorder="1" applyAlignment="1">
      <alignment vertical="top"/>
    </xf>
    <xf numFmtId="0" fontId="10" fillId="0" borderId="1" xfId="0" applyFont="1" applyBorder="1">
      <alignment vertical="top"/>
    </xf>
    <xf numFmtId="43" fontId="12" fillId="10" borderId="1" xfId="0" applyNumberFormat="1" applyFont="1" applyFill="1" applyBorder="1">
      <alignment vertical="top"/>
    </xf>
    <xf numFmtId="10" fontId="7" fillId="10" borderId="0" xfId="1" applyNumberFormat="1" applyFont="1" applyFill="1" applyAlignment="1">
      <alignment vertical="top"/>
    </xf>
    <xf numFmtId="0" fontId="10" fillId="0" borderId="0" xfId="0" applyFont="1">
      <alignment vertical="top"/>
    </xf>
    <xf numFmtId="10" fontId="12" fillId="0" borderId="0" xfId="0" applyNumberFormat="1" applyFont="1">
      <alignment vertical="top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>
      <alignment vertical="top"/>
    </xf>
    <xf numFmtId="0" fontId="6" fillId="11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8" fillId="9" borderId="0" xfId="0" applyFont="1" applyFill="1" applyAlignment="1">
      <alignment horizontal="left" vertical="center"/>
    </xf>
    <xf numFmtId="0" fontId="3" fillId="0" borderId="0" xfId="0" applyFont="1">
      <alignment vertical="top"/>
    </xf>
    <xf numFmtId="0" fontId="2" fillId="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top"/>
    </xf>
    <xf numFmtId="0" fontId="4" fillId="0" borderId="0" xfId="0" applyFont="1">
      <alignment vertical="top"/>
    </xf>
    <xf numFmtId="4" fontId="0" fillId="0" borderId="0" xfId="0" applyNumberFormat="1">
      <alignment vertical="top"/>
    </xf>
    <xf numFmtId="0" fontId="6" fillId="12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4" fontId="0" fillId="0" borderId="0" xfId="0" applyNumberFormat="1" applyAlignment="1">
      <alignment vertical="top" wrapText="1"/>
    </xf>
    <xf numFmtId="4" fontId="0" fillId="0" borderId="0" xfId="0" applyNumberForma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D9D9D9"/>
      <rgbColor rgb="FF800000"/>
      <rgbColor rgb="FF008000"/>
      <rgbColor rgb="FF000080"/>
      <rgbColor rgb="FFD26B26"/>
      <rgbColor rgb="FF800080"/>
      <rgbColor rgb="FF3761AD"/>
      <rgbColor rgb="FFBABABA"/>
      <rgbColor rgb="FF8E7CC3"/>
      <rgbColor rgb="FF8A9DD0"/>
      <rgbColor rgb="FFF4B084"/>
      <rgbColor rgb="FFFFFFE0"/>
      <rgbColor rgb="FFF0F0F0"/>
      <rgbColor rgb="FF660066"/>
      <rgbColor rgb="FFF08080"/>
      <rgbColor rgb="FF2E75B6"/>
      <rgbColor rgb="FFBDD7EE"/>
      <rgbColor rgb="FF000080"/>
      <rgbColor rgb="FFFF00FF"/>
      <rgbColor rgb="FFDDA700"/>
      <rgbColor rgb="FF00FFFF"/>
      <rgbColor rgb="FF800080"/>
      <rgbColor rgb="FF800000"/>
      <rgbColor rgb="FF4C86BB"/>
      <rgbColor rgb="FF0000FF"/>
      <rgbColor rgb="FF9DC08C"/>
      <rgbColor rgb="FFD9E1F2"/>
      <rgbColor rgb="FFC6E0B4"/>
      <rgbColor rgb="FFFFFF99"/>
      <rgbColor rgb="FFADD8E6"/>
      <rgbColor rgb="FFEDA284"/>
      <rgbColor rgb="FF92B3DC"/>
      <rgbColor rgb="FFFCCC81"/>
      <rgbColor rgb="FF4472C4"/>
      <rgbColor rgb="FF90EE90"/>
      <rgbColor rgb="FF70AD47"/>
      <rgbColor rgb="FFFFC000"/>
      <rgbColor rgb="FFFFA500"/>
      <rgbColor rgb="FFED7D31"/>
      <rgbColor rgb="FF595959"/>
      <rgbColor rgb="FF8E8E8E"/>
      <rgbColor rgb="FF003366"/>
      <rgbColor rgb="FF60983B"/>
      <rgbColor rgb="FF003300"/>
      <rgbColor rgb="FF333300"/>
      <rgbColor rgb="FF993300"/>
      <rgbColor rgb="FFF4CCCC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opLeftCell="A73" zoomScale="153" zoomScaleNormal="122" workbookViewId="0">
      <selection activeCell="A87" sqref="A87:C87"/>
    </sheetView>
  </sheetViews>
  <sheetFormatPr defaultColWidth="8.88671875" defaultRowHeight="14.4" x14ac:dyDescent="0.3"/>
  <cols>
    <col min="1" max="1" width="35.77734375" style="1" customWidth="1"/>
    <col min="2" max="2" width="80.88671875" style="1" customWidth="1"/>
    <col min="3" max="3" width="64.21875" style="1" customWidth="1"/>
  </cols>
  <sheetData>
    <row r="1" spans="1:3" ht="20.25" customHeight="1" x14ac:dyDescent="0.3">
      <c r="A1" s="33" t="s">
        <v>44</v>
      </c>
      <c r="B1" s="35"/>
      <c r="C1" s="35"/>
    </row>
    <row r="3" spans="1:3" ht="18" customHeight="1" x14ac:dyDescent="0.3">
      <c r="A3" s="42" t="s">
        <v>45</v>
      </c>
      <c r="B3" s="35"/>
      <c r="C3" s="35"/>
    </row>
    <row r="4" spans="1:3" ht="14.4" customHeight="1" x14ac:dyDescent="0.3">
      <c r="A4" s="3" t="s">
        <v>46</v>
      </c>
      <c r="B4" s="3" t="s">
        <v>47</v>
      </c>
      <c r="C4" s="3" t="s">
        <v>48</v>
      </c>
    </row>
    <row r="5" spans="1:3" ht="14.4" customHeight="1" x14ac:dyDescent="0.3">
      <c r="A5" s="4" t="s">
        <v>49</v>
      </c>
      <c r="B5" s="5" t="s">
        <v>50</v>
      </c>
      <c r="C5" s="5" t="s">
        <v>51</v>
      </c>
    </row>
    <row r="6" spans="1:3" ht="14.4" customHeight="1" x14ac:dyDescent="0.3">
      <c r="A6" s="4" t="s">
        <v>52</v>
      </c>
      <c r="B6" s="5" t="s">
        <v>53</v>
      </c>
      <c r="C6" s="5" t="s">
        <v>54</v>
      </c>
    </row>
    <row r="7" spans="1:3" ht="14.4" customHeight="1" x14ac:dyDescent="0.3">
      <c r="A7" s="4" t="s">
        <v>55</v>
      </c>
      <c r="B7" s="5" t="s">
        <v>56</v>
      </c>
      <c r="C7" s="5" t="s">
        <v>57</v>
      </c>
    </row>
    <row r="8" spans="1:3" ht="14.4" customHeight="1" x14ac:dyDescent="0.3">
      <c r="A8" s="4" t="s">
        <v>58</v>
      </c>
      <c r="B8" s="5" t="s">
        <v>59</v>
      </c>
      <c r="C8" s="5" t="s">
        <v>60</v>
      </c>
    </row>
    <row r="9" spans="1:3" ht="14.4" customHeight="1" x14ac:dyDescent="0.3">
      <c r="A9" s="4" t="s">
        <v>61</v>
      </c>
      <c r="B9" s="5" t="s">
        <v>62</v>
      </c>
      <c r="C9" s="5" t="s">
        <v>63</v>
      </c>
    </row>
    <row r="10" spans="1:3" ht="14.4" customHeight="1" x14ac:dyDescent="0.3">
      <c r="A10" s="4" t="s">
        <v>64</v>
      </c>
      <c r="B10" s="5" t="s">
        <v>65</v>
      </c>
      <c r="C10" s="5" t="s">
        <v>66</v>
      </c>
    </row>
    <row r="11" spans="1:3" ht="14.4" customHeight="1" x14ac:dyDescent="0.3">
      <c r="A11" s="4" t="s">
        <v>67</v>
      </c>
      <c r="B11" s="5" t="s">
        <v>68</v>
      </c>
      <c r="C11" s="5" t="s">
        <v>69</v>
      </c>
    </row>
    <row r="12" spans="1:3" ht="14.4" customHeight="1" x14ac:dyDescent="0.3">
      <c r="A12" s="4" t="s">
        <v>70</v>
      </c>
      <c r="B12" s="5" t="s">
        <v>71</v>
      </c>
      <c r="C12" s="5" t="s">
        <v>72</v>
      </c>
    </row>
    <row r="14" spans="1:3" ht="18" customHeight="1" x14ac:dyDescent="0.3">
      <c r="A14" s="42" t="s">
        <v>73</v>
      </c>
      <c r="B14" s="35"/>
      <c r="C14" s="35"/>
    </row>
    <row r="15" spans="1:3" ht="14.4" customHeight="1" x14ac:dyDescent="0.3">
      <c r="A15" s="4" t="s">
        <v>74</v>
      </c>
    </row>
    <row r="16" spans="1:3" ht="14.4" customHeight="1" x14ac:dyDescent="0.3">
      <c r="A16" s="5" t="s">
        <v>75</v>
      </c>
      <c r="B16" s="5"/>
      <c r="C16" s="5"/>
    </row>
    <row r="18" spans="1:3" ht="14.4" customHeight="1" x14ac:dyDescent="0.3">
      <c r="A18" s="4" t="s">
        <v>76</v>
      </c>
    </row>
    <row r="19" spans="1:3" ht="14.4" customHeight="1" x14ac:dyDescent="0.3">
      <c r="A19" s="41" t="s">
        <v>77</v>
      </c>
      <c r="B19" s="35"/>
      <c r="C19" s="35"/>
    </row>
    <row r="20" spans="1:3" ht="14.4" customHeight="1" x14ac:dyDescent="0.3">
      <c r="A20" s="41" t="s">
        <v>78</v>
      </c>
      <c r="B20" s="35"/>
      <c r="C20" s="35"/>
    </row>
    <row r="21" spans="1:3" ht="14.4" customHeight="1" x14ac:dyDescent="0.3">
      <c r="A21" s="41" t="s">
        <v>79</v>
      </c>
      <c r="B21" s="35"/>
      <c r="C21" s="35"/>
    </row>
    <row r="22" spans="1:3" ht="14.4" customHeight="1" x14ac:dyDescent="0.3">
      <c r="A22" s="41" t="s">
        <v>80</v>
      </c>
      <c r="B22" s="35"/>
      <c r="C22" s="35"/>
    </row>
    <row r="24" spans="1:3" ht="14.4" customHeight="1" x14ac:dyDescent="0.3">
      <c r="A24" s="4" t="s">
        <v>81</v>
      </c>
    </row>
    <row r="25" spans="1:3" ht="14.4" customHeight="1" x14ac:dyDescent="0.3">
      <c r="A25" s="41" t="s">
        <v>82</v>
      </c>
      <c r="B25" s="35"/>
      <c r="C25" s="35"/>
    </row>
    <row r="26" spans="1:3" ht="14.4" customHeight="1" x14ac:dyDescent="0.3">
      <c r="A26" s="41" t="s">
        <v>83</v>
      </c>
      <c r="B26" s="35"/>
      <c r="C26" s="35"/>
    </row>
    <row r="27" spans="1:3" ht="14.4" customHeight="1" x14ac:dyDescent="0.3">
      <c r="A27" s="41" t="s">
        <v>84</v>
      </c>
      <c r="B27" s="35"/>
      <c r="C27" s="35"/>
    </row>
    <row r="28" spans="1:3" ht="14.4" customHeight="1" x14ac:dyDescent="0.3">
      <c r="A28" s="41" t="s">
        <v>85</v>
      </c>
      <c r="B28" s="35"/>
      <c r="C28" s="35"/>
    </row>
    <row r="29" spans="1:3" ht="14.4" customHeight="1" x14ac:dyDescent="0.3">
      <c r="A29" s="41" t="s">
        <v>86</v>
      </c>
      <c r="B29" s="35"/>
      <c r="C29" s="35"/>
    </row>
    <row r="31" spans="1:3" ht="14.4" customHeight="1" x14ac:dyDescent="0.3">
      <c r="A31" s="4" t="s">
        <v>87</v>
      </c>
    </row>
    <row r="32" spans="1:3" ht="14.4" customHeight="1" x14ac:dyDescent="0.3">
      <c r="A32" s="41" t="s">
        <v>88</v>
      </c>
      <c r="B32" s="35"/>
      <c r="C32" s="35"/>
    </row>
    <row r="33" spans="1:3" ht="14.4" customHeight="1" x14ac:dyDescent="0.3">
      <c r="A33" s="41" t="s">
        <v>89</v>
      </c>
      <c r="B33" s="35"/>
      <c r="C33" s="35"/>
    </row>
    <row r="35" spans="1:3" ht="18" customHeight="1" x14ac:dyDescent="0.3">
      <c r="A35" s="42" t="s">
        <v>90</v>
      </c>
      <c r="B35" s="35"/>
      <c r="C35" s="35"/>
    </row>
    <row r="36" spans="1:3" ht="14.4" customHeight="1" x14ac:dyDescent="0.3">
      <c r="A36" s="4" t="s">
        <v>74</v>
      </c>
    </row>
    <row r="37" spans="1:3" ht="14.4" customHeight="1" x14ac:dyDescent="0.3">
      <c r="A37" s="5" t="s">
        <v>91</v>
      </c>
    </row>
    <row r="39" spans="1:3" ht="14.4" customHeight="1" x14ac:dyDescent="0.3">
      <c r="A39" s="3" t="s">
        <v>92</v>
      </c>
      <c r="B39" s="3" t="s">
        <v>93</v>
      </c>
      <c r="C39" s="3" t="s">
        <v>94</v>
      </c>
    </row>
    <row r="40" spans="1:3" ht="14.4" customHeight="1" x14ac:dyDescent="0.3">
      <c r="A40" s="4" t="s">
        <v>95</v>
      </c>
      <c r="B40" s="6" t="s">
        <v>96</v>
      </c>
      <c r="C40" s="5" t="s">
        <v>97</v>
      </c>
    </row>
    <row r="41" spans="1:3" ht="14.4" customHeight="1" x14ac:dyDescent="0.3">
      <c r="A41" s="4" t="s">
        <v>98</v>
      </c>
      <c r="B41" s="6" t="s">
        <v>99</v>
      </c>
      <c r="C41" s="5" t="s">
        <v>100</v>
      </c>
    </row>
    <row r="42" spans="1:3" ht="14.4" customHeight="1" x14ac:dyDescent="0.3">
      <c r="A42" s="4" t="s">
        <v>101</v>
      </c>
      <c r="B42" s="6" t="s">
        <v>102</v>
      </c>
      <c r="C42" s="5" t="s">
        <v>103</v>
      </c>
    </row>
    <row r="44" spans="1:3" ht="14.4" customHeight="1" x14ac:dyDescent="0.3">
      <c r="A44" s="4" t="s">
        <v>104</v>
      </c>
    </row>
    <row r="45" spans="1:3" ht="14.4" customHeight="1" x14ac:dyDescent="0.3">
      <c r="A45" s="41" t="s">
        <v>105</v>
      </c>
      <c r="B45" s="35"/>
      <c r="C45" s="35"/>
    </row>
    <row r="46" spans="1:3" ht="14.4" customHeight="1" x14ac:dyDescent="0.3">
      <c r="A46" s="41" t="s">
        <v>106</v>
      </c>
      <c r="B46" s="35"/>
      <c r="C46" s="35"/>
    </row>
    <row r="47" spans="1:3" ht="14.4" customHeight="1" x14ac:dyDescent="0.3">
      <c r="A47" s="41" t="s">
        <v>107</v>
      </c>
      <c r="B47" s="35"/>
      <c r="C47" s="35"/>
    </row>
    <row r="48" spans="1:3" ht="14.4" customHeight="1" x14ac:dyDescent="0.3">
      <c r="A48" s="41" t="s">
        <v>108</v>
      </c>
      <c r="B48" s="35"/>
      <c r="C48" s="35"/>
    </row>
    <row r="49" spans="1:3" ht="14.4" customHeight="1" x14ac:dyDescent="0.3">
      <c r="A49" s="41" t="s">
        <v>109</v>
      </c>
      <c r="B49" s="35"/>
      <c r="C49" s="35"/>
    </row>
    <row r="51" spans="1:3" ht="18" customHeight="1" x14ac:dyDescent="0.3">
      <c r="A51" s="42" t="s">
        <v>110</v>
      </c>
      <c r="B51" s="35"/>
      <c r="C51" s="35"/>
    </row>
    <row r="52" spans="1:3" ht="14.4" customHeight="1" x14ac:dyDescent="0.3">
      <c r="A52" s="4" t="s">
        <v>74</v>
      </c>
    </row>
    <row r="53" spans="1:3" ht="14.4" customHeight="1" x14ac:dyDescent="0.3">
      <c r="A53" s="5" t="s">
        <v>111</v>
      </c>
    </row>
    <row r="55" spans="1:3" ht="14.4" customHeight="1" x14ac:dyDescent="0.3">
      <c r="A55" s="4" t="s">
        <v>112</v>
      </c>
    </row>
    <row r="56" spans="1:3" ht="14.4" customHeight="1" x14ac:dyDescent="0.3">
      <c r="A56" s="41" t="s">
        <v>113</v>
      </c>
      <c r="B56" s="35"/>
      <c r="C56" s="35"/>
    </row>
    <row r="57" spans="1:3" ht="14.4" customHeight="1" x14ac:dyDescent="0.3">
      <c r="A57" s="41" t="s">
        <v>114</v>
      </c>
      <c r="B57" s="35"/>
      <c r="C57" s="35"/>
    </row>
    <row r="58" spans="1:3" ht="14.4" customHeight="1" x14ac:dyDescent="0.3">
      <c r="A58" s="41" t="s">
        <v>115</v>
      </c>
      <c r="B58" s="35"/>
      <c r="C58" s="35"/>
    </row>
    <row r="59" spans="1:3" ht="14.4" customHeight="1" x14ac:dyDescent="0.3">
      <c r="A59" s="41" t="s">
        <v>116</v>
      </c>
      <c r="B59" s="35"/>
      <c r="C59" s="35"/>
    </row>
    <row r="60" spans="1:3" ht="14.4" customHeight="1" x14ac:dyDescent="0.3">
      <c r="A60" s="41" t="s">
        <v>117</v>
      </c>
      <c r="B60" s="35"/>
      <c r="C60" s="35"/>
    </row>
    <row r="62" spans="1:3" ht="14.4" customHeight="1" x14ac:dyDescent="0.3">
      <c r="A62" s="41" t="s">
        <v>118</v>
      </c>
      <c r="B62" s="35"/>
      <c r="C62" s="35"/>
    </row>
    <row r="64" spans="1:3" ht="18" customHeight="1" x14ac:dyDescent="0.3">
      <c r="A64" s="42" t="s">
        <v>119</v>
      </c>
      <c r="B64" s="35"/>
      <c r="C64" s="35"/>
    </row>
    <row r="65" spans="1:3" ht="14.4" customHeight="1" x14ac:dyDescent="0.3">
      <c r="A65" s="4" t="s">
        <v>120</v>
      </c>
    </row>
    <row r="66" spans="1:3" ht="14.4" customHeight="1" x14ac:dyDescent="0.3">
      <c r="A66" s="41" t="s">
        <v>121</v>
      </c>
      <c r="B66" s="35"/>
      <c r="C66" s="35"/>
    </row>
    <row r="67" spans="1:3" ht="14.4" customHeight="1" x14ac:dyDescent="0.3">
      <c r="A67" s="41" t="s">
        <v>122</v>
      </c>
      <c r="B67" s="35"/>
      <c r="C67" s="35"/>
    </row>
    <row r="68" spans="1:3" ht="14.4" customHeight="1" x14ac:dyDescent="0.3">
      <c r="A68" s="41" t="s">
        <v>123</v>
      </c>
      <c r="B68" s="35"/>
      <c r="C68" s="35"/>
    </row>
    <row r="70" spans="1:3" ht="14.4" customHeight="1" x14ac:dyDescent="0.3">
      <c r="A70" s="4" t="s">
        <v>124</v>
      </c>
    </row>
    <row r="71" spans="1:3" ht="14.4" customHeight="1" x14ac:dyDescent="0.3">
      <c r="A71" s="41" t="s">
        <v>125</v>
      </c>
      <c r="B71" s="35"/>
      <c r="C71" s="35"/>
    </row>
    <row r="72" spans="1:3" ht="14.4" customHeight="1" x14ac:dyDescent="0.3">
      <c r="A72" s="41" t="s">
        <v>126</v>
      </c>
      <c r="B72" s="35"/>
      <c r="C72" s="35"/>
    </row>
    <row r="73" spans="1:3" ht="14.4" customHeight="1" x14ac:dyDescent="0.3">
      <c r="A73" s="41" t="s">
        <v>127</v>
      </c>
      <c r="B73" s="35"/>
      <c r="C73" s="35"/>
    </row>
    <row r="74" spans="1:3" ht="14.4" customHeight="1" x14ac:dyDescent="0.3">
      <c r="A74" s="41" t="s">
        <v>128</v>
      </c>
      <c r="B74" s="35"/>
      <c r="C74" s="35"/>
    </row>
    <row r="75" spans="1:3" ht="14.4" customHeight="1" x14ac:dyDescent="0.3">
      <c r="A75" s="41" t="s">
        <v>129</v>
      </c>
      <c r="B75" s="35"/>
      <c r="C75" s="35"/>
    </row>
    <row r="77" spans="1:3" ht="18" customHeight="1" x14ac:dyDescent="0.3">
      <c r="A77" s="42" t="s">
        <v>130</v>
      </c>
      <c r="B77" s="35"/>
      <c r="C77" s="35"/>
    </row>
    <row r="78" spans="1:3" ht="14.4" customHeight="1" x14ac:dyDescent="0.3">
      <c r="A78" s="41" t="s">
        <v>131</v>
      </c>
      <c r="B78" s="35"/>
      <c r="C78" s="35"/>
    </row>
    <row r="79" spans="1:3" ht="14.4" customHeight="1" x14ac:dyDescent="0.3">
      <c r="A79" s="41" t="s">
        <v>132</v>
      </c>
      <c r="B79" s="35"/>
      <c r="C79" s="35"/>
    </row>
    <row r="80" spans="1:3" ht="14.4" customHeight="1" x14ac:dyDescent="0.3">
      <c r="A80" s="41" t="s">
        <v>133</v>
      </c>
      <c r="B80" s="35"/>
      <c r="C80" s="35"/>
    </row>
    <row r="81" spans="1:3" ht="14.4" customHeight="1" x14ac:dyDescent="0.3">
      <c r="A81" s="41" t="s">
        <v>134</v>
      </c>
      <c r="B81" s="35"/>
      <c r="C81" s="35"/>
    </row>
    <row r="82" spans="1:3" ht="14.4" customHeight="1" x14ac:dyDescent="0.3">
      <c r="A82" s="41" t="s">
        <v>135</v>
      </c>
      <c r="B82" s="35"/>
      <c r="C82" s="35"/>
    </row>
    <row r="83" spans="1:3" ht="14.4" customHeight="1" x14ac:dyDescent="0.3">
      <c r="A83" s="41" t="s">
        <v>136</v>
      </c>
      <c r="B83" s="35"/>
      <c r="C83" s="35"/>
    </row>
    <row r="84" spans="1:3" ht="14.4" customHeight="1" x14ac:dyDescent="0.3">
      <c r="A84" s="41" t="s">
        <v>137</v>
      </c>
      <c r="B84" s="35"/>
      <c r="C84" s="35"/>
    </row>
    <row r="85" spans="1:3" ht="14.4" customHeight="1" x14ac:dyDescent="0.3">
      <c r="A85" s="41" t="s">
        <v>138</v>
      </c>
      <c r="B85" s="35"/>
      <c r="C85" s="35"/>
    </row>
    <row r="86" spans="1:3" ht="14.4" customHeight="1" x14ac:dyDescent="0.3">
      <c r="A86" s="41" t="s">
        <v>139</v>
      </c>
      <c r="B86" s="35"/>
      <c r="C86" s="35"/>
    </row>
    <row r="87" spans="1:3" ht="14.4" customHeight="1" x14ac:dyDescent="0.3">
      <c r="A87" s="41" t="s">
        <v>140</v>
      </c>
      <c r="B87" s="35"/>
      <c r="C87" s="35"/>
    </row>
  </sheetData>
  <mergeCells count="47">
    <mergeCell ref="A83:C83"/>
    <mergeCell ref="A82:C82"/>
    <mergeCell ref="A86:C86"/>
    <mergeCell ref="A33:C33"/>
    <mergeCell ref="A71:C71"/>
    <mergeCell ref="A47:C47"/>
    <mergeCell ref="A85:C85"/>
    <mergeCell ref="A62:C62"/>
    <mergeCell ref="A35:C35"/>
    <mergeCell ref="A66:C66"/>
    <mergeCell ref="A80:C80"/>
    <mergeCell ref="A46:C46"/>
    <mergeCell ref="A84:C84"/>
    <mergeCell ref="A75:C75"/>
    <mergeCell ref="A74:C74"/>
    <mergeCell ref="A56:C56"/>
    <mergeCell ref="A81:C81"/>
    <mergeCell ref="A72:C72"/>
    <mergeCell ref="A45:C45"/>
    <mergeCell ref="A3:C3"/>
    <mergeCell ref="A21:C21"/>
    <mergeCell ref="A57:C57"/>
    <mergeCell ref="A26:C26"/>
    <mergeCell ref="A32:C32"/>
    <mergeCell ref="A14:C14"/>
    <mergeCell ref="A22:C22"/>
    <mergeCell ref="A29:C29"/>
    <mergeCell ref="A20:C20"/>
    <mergeCell ref="A25:C25"/>
    <mergeCell ref="A27:C27"/>
    <mergeCell ref="A28:C28"/>
    <mergeCell ref="A1:C1"/>
    <mergeCell ref="A79:C79"/>
    <mergeCell ref="A78:C78"/>
    <mergeCell ref="A87:C87"/>
    <mergeCell ref="A19:C19"/>
    <mergeCell ref="A68:C68"/>
    <mergeCell ref="A58:C58"/>
    <mergeCell ref="A67:C67"/>
    <mergeCell ref="A77:C77"/>
    <mergeCell ref="A59:C59"/>
    <mergeCell ref="A48:C48"/>
    <mergeCell ref="A73:C73"/>
    <mergeCell ref="A51:C51"/>
    <mergeCell ref="A64:C64"/>
    <mergeCell ref="A60:C60"/>
    <mergeCell ref="A49:C49"/>
  </mergeCells>
  <pageMargins left="0.7" right="0.7" top="0.59722222222222199" bottom="0.59722222222222199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7"/>
  <sheetViews>
    <sheetView showGridLines="0" topLeftCell="A29" zoomScaleNormal="100" workbookViewId="0">
      <selection activeCell="G57" sqref="G57"/>
    </sheetView>
  </sheetViews>
  <sheetFormatPr defaultColWidth="8.88671875" defaultRowHeight="14.4" outlineLevelRow="1" x14ac:dyDescent="0.3"/>
  <cols>
    <col min="1" max="1" width="35.77734375" style="1" customWidth="1"/>
    <col min="2" max="13" width="14.21875" style="1" customWidth="1"/>
    <col min="14" max="14" width="17.109375" style="1" customWidth="1"/>
  </cols>
  <sheetData>
    <row r="1" spans="1:15" ht="20.25" customHeight="1" x14ac:dyDescent="0.3">
      <c r="A1" s="33" t="s">
        <v>181</v>
      </c>
      <c r="B1" s="33"/>
      <c r="C1" s="33"/>
      <c r="D1" s="33"/>
      <c r="E1" s="33"/>
      <c r="F1" s="33"/>
      <c r="G1" s="33"/>
      <c r="H1" s="33"/>
    </row>
    <row r="2" spans="1:15" ht="14.4" customHeight="1" x14ac:dyDescent="0.3">
      <c r="A2" s="34" t="s">
        <v>141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</row>
    <row r="4" spans="1:15" ht="18" customHeight="1" x14ac:dyDescent="0.3">
      <c r="A4" s="38" t="s">
        <v>142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6"/>
    </row>
    <row r="5" spans="1:15" ht="14.4" customHeight="1" x14ac:dyDescent="0.3">
      <c r="A5" t="s">
        <v>143</v>
      </c>
    </row>
    <row r="6" spans="1:15" ht="14.4" customHeight="1" x14ac:dyDescent="0.3">
      <c r="A6" t="s">
        <v>144</v>
      </c>
    </row>
    <row r="7" spans="1:15" ht="14.4" customHeight="1" x14ac:dyDescent="0.3">
      <c r="A7" t="s">
        <v>145</v>
      </c>
    </row>
    <row r="8" spans="1:15" ht="14.4" customHeight="1" x14ac:dyDescent="0.3">
      <c r="A8" t="s">
        <v>146</v>
      </c>
    </row>
    <row r="10" spans="1:15" ht="18" customHeight="1" x14ac:dyDescent="0.3">
      <c r="A10" s="38" t="s">
        <v>147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</row>
    <row r="11" spans="1:15" ht="14.4" customHeight="1" x14ac:dyDescent="0.3">
      <c r="A11" s="7" t="s">
        <v>2</v>
      </c>
      <c r="B11" s="7" t="s">
        <v>3</v>
      </c>
      <c r="C11" s="7" t="s">
        <v>4</v>
      </c>
      <c r="D11" s="7" t="s">
        <v>5</v>
      </c>
      <c r="E11" s="7" t="s">
        <v>6</v>
      </c>
    </row>
    <row r="12" spans="1:15" ht="14.4" customHeight="1" x14ac:dyDescent="0.3">
      <c r="A12" s="8" t="s">
        <v>7</v>
      </c>
      <c r="B12" s="9">
        <v>279724.03000000003</v>
      </c>
      <c r="C12" s="9">
        <v>310806.46000000002</v>
      </c>
      <c r="D12" s="9">
        <v>321359.3</v>
      </c>
      <c r="E12" s="9">
        <f>SUM(B12:D12)</f>
        <v>911889.79</v>
      </c>
    </row>
    <row r="13" spans="1:15" ht="14.4" customHeight="1" x14ac:dyDescent="0.3">
      <c r="A13" s="8" t="s">
        <v>12</v>
      </c>
      <c r="B13" s="9">
        <v>80338.45</v>
      </c>
      <c r="C13" s="9">
        <v>90624.71</v>
      </c>
      <c r="D13" s="9">
        <v>91850.45</v>
      </c>
      <c r="E13" s="9">
        <f>SUM(B13:D13)</f>
        <v>262813.61</v>
      </c>
    </row>
    <row r="14" spans="1:15" ht="14.4" customHeight="1" x14ac:dyDescent="0.3">
      <c r="A14" s="8" t="s">
        <v>13</v>
      </c>
      <c r="B14" s="9">
        <v>218057.64</v>
      </c>
      <c r="C14" s="9">
        <v>185983.81</v>
      </c>
      <c r="D14" s="9">
        <v>240378.2</v>
      </c>
      <c r="E14" s="9">
        <f>SUM(B14:D14)</f>
        <v>644419.65</v>
      </c>
    </row>
    <row r="15" spans="1:15" ht="14.4" customHeight="1" x14ac:dyDescent="0.3">
      <c r="A15" s="8" t="s">
        <v>8</v>
      </c>
      <c r="B15" s="10">
        <f>B14/B12</f>
        <v>0.77954561143710099</v>
      </c>
      <c r="C15" s="10">
        <f>C14/C12</f>
        <v>0.59839106947777077</v>
      </c>
      <c r="D15" s="10">
        <f>D14/D12</f>
        <v>0.74800449216811216</v>
      </c>
      <c r="E15" s="10">
        <f>E14/E12</f>
        <v>0.70668589238179758</v>
      </c>
    </row>
    <row r="16" spans="1:15" ht="14.4" customHeight="1" x14ac:dyDescent="0.3">
      <c r="A16" s="8" t="s">
        <v>148</v>
      </c>
      <c r="B16" s="9">
        <v>222021.16</v>
      </c>
      <c r="C16" s="9">
        <v>211032.46</v>
      </c>
      <c r="D16" s="9">
        <v>250489.58</v>
      </c>
      <c r="E16" s="9">
        <f>SUM(B16:D16)</f>
        <v>683543.2</v>
      </c>
    </row>
    <row r="17" spans="1:15" ht="14.4" customHeight="1" x14ac:dyDescent="0.3">
      <c r="A17" s="11" t="s">
        <v>15</v>
      </c>
      <c r="B17" s="9">
        <v>100525.89</v>
      </c>
      <c r="C17" s="9">
        <v>104011.47</v>
      </c>
      <c r="D17" s="9">
        <v>112612.22</v>
      </c>
      <c r="E17" s="9">
        <f>SUM(B17:D17)</f>
        <v>317149.57999999996</v>
      </c>
    </row>
    <row r="18" spans="1:15" ht="14.4" customHeight="1" x14ac:dyDescent="0.3">
      <c r="A18" s="11" t="s">
        <v>16</v>
      </c>
      <c r="B18" s="9">
        <v>86043.75</v>
      </c>
      <c r="C18" s="9">
        <v>90656.5</v>
      </c>
      <c r="D18" s="9">
        <v>83783.820000000007</v>
      </c>
      <c r="E18" s="9">
        <f>SUM(B18:D18)</f>
        <v>260484.07</v>
      </c>
    </row>
    <row r="19" spans="1:15" ht="14.4" customHeight="1" x14ac:dyDescent="0.3">
      <c r="A19" s="11" t="s">
        <v>17</v>
      </c>
      <c r="B19" s="9">
        <v>38539.519999999997</v>
      </c>
      <c r="C19" s="9">
        <v>39318.82</v>
      </c>
      <c r="D19" s="9">
        <v>36501.120000000003</v>
      </c>
      <c r="E19" s="9">
        <f>SUM(B19:D19)</f>
        <v>114359.45999999999</v>
      </c>
    </row>
    <row r="20" spans="1:15" ht="14.4" customHeight="1" x14ac:dyDescent="0.3">
      <c r="A20" s="8" t="s">
        <v>9</v>
      </c>
      <c r="B20" s="9">
        <v>-25526.85</v>
      </c>
      <c r="C20" s="9">
        <v>-18275.36</v>
      </c>
      <c r="D20" s="9">
        <v>-12369.38</v>
      </c>
      <c r="E20" s="9">
        <f>SUM(B20:D20)</f>
        <v>-56171.59</v>
      </c>
    </row>
    <row r="22" spans="1:15" ht="18" customHeight="1" x14ac:dyDescent="0.3">
      <c r="A22" s="38" t="s">
        <v>149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6"/>
    </row>
    <row r="23" spans="1:15" ht="14.4" customHeight="1" x14ac:dyDescent="0.3">
      <c r="A23" s="39" t="s">
        <v>150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</row>
    <row r="25" spans="1:15" ht="14.4" customHeight="1" x14ac:dyDescent="0.3">
      <c r="A25" s="7" t="s">
        <v>151</v>
      </c>
      <c r="B25" s="7" t="s">
        <v>152</v>
      </c>
      <c r="C25" s="7" t="s">
        <v>153</v>
      </c>
    </row>
    <row r="26" spans="1:15" ht="14.4" customHeight="1" x14ac:dyDescent="0.3">
      <c r="A26" s="8" t="s">
        <v>7</v>
      </c>
      <c r="B26" s="9">
        <v>909704.56</v>
      </c>
      <c r="C26" s="9">
        <v>3827931.46</v>
      </c>
    </row>
    <row r="27" spans="1:15" ht="14.4" customHeight="1" x14ac:dyDescent="0.3">
      <c r="A27" s="8" t="s">
        <v>8</v>
      </c>
      <c r="B27" s="10">
        <v>0.7</v>
      </c>
      <c r="C27" s="10">
        <v>0.64</v>
      </c>
    </row>
    <row r="28" spans="1:15" ht="14.4" customHeight="1" x14ac:dyDescent="0.3">
      <c r="A28" s="8" t="s">
        <v>9</v>
      </c>
      <c r="B28" s="9">
        <v>-13893.42</v>
      </c>
      <c r="C28" s="9">
        <v>163707.85999999999</v>
      </c>
    </row>
    <row r="30" spans="1:15" ht="18" customHeight="1" x14ac:dyDescent="0.3">
      <c r="A30" s="40" t="s">
        <v>180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6"/>
    </row>
    <row r="31" spans="1:15" ht="14.4" customHeight="1" x14ac:dyDescent="0.3">
      <c r="A31" s="2" t="s">
        <v>154</v>
      </c>
    </row>
    <row r="33" spans="1:15" ht="14.4" customHeight="1" x14ac:dyDescent="0.3">
      <c r="A33" s="12" t="s">
        <v>155</v>
      </c>
    </row>
    <row r="34" spans="1:15" ht="14.4" customHeight="1" x14ac:dyDescent="0.3">
      <c r="A34" s="7" t="s">
        <v>156</v>
      </c>
      <c r="B34" s="7" t="s">
        <v>157</v>
      </c>
      <c r="C34" s="7" t="s">
        <v>158</v>
      </c>
    </row>
    <row r="35" spans="1:15" ht="14.4" customHeight="1" x14ac:dyDescent="0.3">
      <c r="A35" s="8" t="s">
        <v>159</v>
      </c>
      <c r="B35" s="10">
        <v>0.04</v>
      </c>
      <c r="C35" s="8" t="s">
        <v>160</v>
      </c>
    </row>
    <row r="36" spans="1:15" ht="14.4" customHeight="1" x14ac:dyDescent="0.3">
      <c r="A36" s="8" t="s">
        <v>161</v>
      </c>
      <c r="B36" s="10">
        <v>0.06</v>
      </c>
      <c r="C36" s="8" t="s">
        <v>179</v>
      </c>
    </row>
    <row r="37" spans="1:15" ht="14.4" customHeight="1" x14ac:dyDescent="0.3">
      <c r="A37" s="8" t="s">
        <v>8</v>
      </c>
      <c r="B37" s="10">
        <v>0.71</v>
      </c>
      <c r="C37" s="8" t="s">
        <v>162</v>
      </c>
    </row>
    <row r="38" spans="1:15" ht="14.4" customHeight="1" x14ac:dyDescent="0.3">
      <c r="A38" s="8" t="s">
        <v>163</v>
      </c>
      <c r="B38" s="10">
        <v>0.33</v>
      </c>
      <c r="C38" s="8" t="s">
        <v>164</v>
      </c>
    </row>
    <row r="39" spans="1:15" ht="14.4" customHeight="1" x14ac:dyDescent="0.3">
      <c r="A39" s="8" t="s">
        <v>165</v>
      </c>
      <c r="B39" s="18">
        <v>85155.13</v>
      </c>
      <c r="C39" s="8" t="s">
        <v>166</v>
      </c>
    </row>
    <row r="40" spans="1:15" ht="14.4" customHeight="1" x14ac:dyDescent="0.3">
      <c r="A40" s="8" t="s">
        <v>167</v>
      </c>
      <c r="B40" s="18">
        <v>39255.69</v>
      </c>
      <c r="C40" s="8" t="s">
        <v>168</v>
      </c>
    </row>
    <row r="42" spans="1:15" ht="18" hidden="1" customHeight="1" outlineLevel="1" x14ac:dyDescent="0.3">
      <c r="A42" s="38" t="s">
        <v>169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6"/>
    </row>
    <row r="43" spans="1:15" ht="14.4" hidden="1" customHeight="1" outlineLevel="1" x14ac:dyDescent="0.3">
      <c r="A43" s="7" t="s">
        <v>2</v>
      </c>
      <c r="B43" s="21">
        <v>46113</v>
      </c>
      <c r="C43" s="21">
        <v>46143</v>
      </c>
      <c r="D43" s="21">
        <v>46174</v>
      </c>
      <c r="E43" s="21">
        <v>46204</v>
      </c>
      <c r="F43" s="21">
        <v>46235</v>
      </c>
      <c r="G43" s="21">
        <v>46266</v>
      </c>
      <c r="H43" s="21">
        <v>46296</v>
      </c>
      <c r="I43" s="21">
        <v>46327</v>
      </c>
      <c r="J43" s="21">
        <v>46357</v>
      </c>
      <c r="K43" s="21">
        <v>46388</v>
      </c>
      <c r="L43" s="21">
        <v>46419</v>
      </c>
      <c r="M43" s="21">
        <v>46447</v>
      </c>
      <c r="N43" s="7" t="s">
        <v>11</v>
      </c>
    </row>
    <row r="44" spans="1:15" ht="14.4" hidden="1" customHeight="1" outlineLevel="1" x14ac:dyDescent="0.3">
      <c r="A44" s="8" t="s">
        <v>7</v>
      </c>
      <c r="B44" s="23">
        <f>D12*(1+B35)</f>
        <v>334213.67200000002</v>
      </c>
      <c r="C44" s="23">
        <f>B44*(1+$B$35)</f>
        <v>347582.21888000006</v>
      </c>
      <c r="D44" s="23">
        <f t="shared" ref="D44:J44" si="0">C44*(1+$B$35)</f>
        <v>361485.50763520005</v>
      </c>
      <c r="E44" s="23">
        <f t="shared" si="0"/>
        <v>375944.92794060806</v>
      </c>
      <c r="F44" s="23">
        <f t="shared" si="0"/>
        <v>390982.72505823238</v>
      </c>
      <c r="G44" s="23">
        <f t="shared" si="0"/>
        <v>406622.03406056168</v>
      </c>
      <c r="H44" s="23">
        <f t="shared" si="0"/>
        <v>422886.91542298417</v>
      </c>
      <c r="I44" s="23">
        <f t="shared" si="0"/>
        <v>439802.39203990356</v>
      </c>
      <c r="J44" s="23">
        <f t="shared" si="0"/>
        <v>457394.4877214997</v>
      </c>
      <c r="K44" s="23">
        <f>J44*(1+$B$36)</f>
        <v>484838.1569847897</v>
      </c>
      <c r="L44" s="23">
        <f t="shared" ref="L44:M44" si="1">K44*(1+$B$36)</f>
        <v>513928.44640387711</v>
      </c>
      <c r="M44" s="23">
        <f t="shared" si="1"/>
        <v>544764.15318810975</v>
      </c>
      <c r="N44" s="23">
        <f>SUM(B44:M44)</f>
        <v>5080445.6373357652</v>
      </c>
    </row>
    <row r="45" spans="1:15" ht="14.4" hidden="1" customHeight="1" outlineLevel="1" x14ac:dyDescent="0.3">
      <c r="A45" s="8" t="s">
        <v>12</v>
      </c>
      <c r="B45" s="23">
        <f>B44-B46</f>
        <v>96921.964880000014</v>
      </c>
      <c r="C45" s="23">
        <f>C44-C46</f>
        <v>100798.84347520003</v>
      </c>
      <c r="D45" s="23">
        <f t="shared" ref="D45:J45" si="2">D44-D46</f>
        <v>104830.79721420803</v>
      </c>
      <c r="E45" s="23">
        <f t="shared" si="2"/>
        <v>109024.02910277637</v>
      </c>
      <c r="F45" s="23">
        <f t="shared" si="2"/>
        <v>113384.99026688741</v>
      </c>
      <c r="G45" s="23">
        <f t="shared" si="2"/>
        <v>117920.38987756288</v>
      </c>
      <c r="H45" s="23">
        <f t="shared" si="2"/>
        <v>122637.20547266543</v>
      </c>
      <c r="I45" s="23">
        <f t="shared" si="2"/>
        <v>127542.69369157206</v>
      </c>
      <c r="J45" s="23">
        <f t="shared" si="2"/>
        <v>132644.40143923491</v>
      </c>
      <c r="K45" s="23">
        <f t="shared" ref="K45" si="3">K44-K46</f>
        <v>140603.06552558905</v>
      </c>
      <c r="L45" s="23">
        <f t="shared" ref="L45" si="4">L44-L46</f>
        <v>149039.24945712439</v>
      </c>
      <c r="M45" s="23">
        <f t="shared" ref="M45" si="5">M44-M46</f>
        <v>157981.60442455183</v>
      </c>
      <c r="N45" s="23">
        <f t="shared" ref="N45:N53" si="6">SUM(B45:M45)</f>
        <v>1473329.2348273725</v>
      </c>
    </row>
    <row r="46" spans="1:15" ht="14.4" hidden="1" customHeight="1" outlineLevel="1" x14ac:dyDescent="0.3">
      <c r="A46" s="8" t="s">
        <v>13</v>
      </c>
      <c r="B46" s="23">
        <f>B44*$B$37</f>
        <v>237291.70712000001</v>
      </c>
      <c r="C46" s="23">
        <f>C44*$B$37</f>
        <v>246783.37540480003</v>
      </c>
      <c r="D46" s="23">
        <f t="shared" ref="D46:J46" si="7">D44*$B$37</f>
        <v>256654.71042099202</v>
      </c>
      <c r="E46" s="23">
        <f t="shared" si="7"/>
        <v>266920.89883783169</v>
      </c>
      <c r="F46" s="23">
        <f t="shared" si="7"/>
        <v>277597.73479134496</v>
      </c>
      <c r="G46" s="23">
        <f t="shared" si="7"/>
        <v>288701.6441829988</v>
      </c>
      <c r="H46" s="23">
        <f t="shared" si="7"/>
        <v>300249.70995031873</v>
      </c>
      <c r="I46" s="23">
        <f t="shared" si="7"/>
        <v>312259.6983483315</v>
      </c>
      <c r="J46" s="23">
        <f t="shared" si="7"/>
        <v>324750.08628226479</v>
      </c>
      <c r="K46" s="23">
        <f t="shared" ref="K46:M46" si="8">K44*$B$37</f>
        <v>344235.09145920066</v>
      </c>
      <c r="L46" s="23">
        <f t="shared" si="8"/>
        <v>364889.19694675272</v>
      </c>
      <c r="M46" s="23">
        <f t="shared" si="8"/>
        <v>386782.54876355792</v>
      </c>
      <c r="N46" s="23">
        <f t="shared" si="6"/>
        <v>3607116.4025083939</v>
      </c>
    </row>
    <row r="47" spans="1:15" s="28" customFormat="1" ht="14.4" hidden="1" customHeight="1" outlineLevel="1" x14ac:dyDescent="0.3">
      <c r="A47" s="26" t="s">
        <v>8</v>
      </c>
      <c r="B47" s="27">
        <f>B46/B44</f>
        <v>0.71</v>
      </c>
      <c r="C47" s="27">
        <f>C46/C44</f>
        <v>0.71</v>
      </c>
      <c r="D47" s="27">
        <f t="shared" ref="D47:J47" si="9">D46/D44</f>
        <v>0.71</v>
      </c>
      <c r="E47" s="27">
        <f t="shared" si="9"/>
        <v>0.70999999999999985</v>
      </c>
      <c r="F47" s="27">
        <f t="shared" si="9"/>
        <v>0.71</v>
      </c>
      <c r="G47" s="27">
        <f t="shared" si="9"/>
        <v>0.71000000000000008</v>
      </c>
      <c r="H47" s="27">
        <f t="shared" si="9"/>
        <v>0.71</v>
      </c>
      <c r="I47" s="27">
        <f t="shared" si="9"/>
        <v>0.71</v>
      </c>
      <c r="J47" s="27">
        <f t="shared" si="9"/>
        <v>0.71</v>
      </c>
      <c r="K47" s="27">
        <f t="shared" ref="K47" si="10">K46/K44</f>
        <v>0.71</v>
      </c>
      <c r="L47" s="27">
        <f t="shared" ref="L47" si="11">L46/L44</f>
        <v>0.71</v>
      </c>
      <c r="M47" s="27">
        <f t="shared" ref="M47" si="12">M46/M44</f>
        <v>0.71</v>
      </c>
      <c r="N47" s="27">
        <f>N46/N44</f>
        <v>0.71000000000000008</v>
      </c>
    </row>
    <row r="48" spans="1:15" ht="14.4" hidden="1" customHeight="1" outlineLevel="1" x14ac:dyDescent="0.3">
      <c r="A48" s="8" t="s">
        <v>14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23">
        <f t="shared" si="6"/>
        <v>0</v>
      </c>
    </row>
    <row r="49" spans="1:15" ht="14.4" hidden="1" customHeight="1" outlineLevel="1" x14ac:dyDescent="0.3">
      <c r="A49" s="11" t="s">
        <v>15</v>
      </c>
      <c r="B49" s="23">
        <f>B44*$B$38</f>
        <v>110290.51176000001</v>
      </c>
      <c r="C49" s="23">
        <f>C44*$B$38</f>
        <v>114702.13223040002</v>
      </c>
      <c r="D49" s="23">
        <f t="shared" ref="D49:J49" si="13">D44*$B$38</f>
        <v>119290.21751961602</v>
      </c>
      <c r="E49" s="23">
        <f t="shared" si="13"/>
        <v>124061.82622040066</v>
      </c>
      <c r="F49" s="23">
        <f t="shared" si="13"/>
        <v>129024.29926921669</v>
      </c>
      <c r="G49" s="23">
        <f t="shared" si="13"/>
        <v>134185.27123998536</v>
      </c>
      <c r="H49" s="23">
        <f t="shared" si="13"/>
        <v>139552.68208958479</v>
      </c>
      <c r="I49" s="23">
        <f t="shared" si="13"/>
        <v>145134.78937316817</v>
      </c>
      <c r="J49" s="23">
        <f t="shared" si="13"/>
        <v>150940.1809480949</v>
      </c>
      <c r="K49" s="23">
        <f t="shared" ref="K49:M49" si="14">K44*$B$38</f>
        <v>159996.59180498062</v>
      </c>
      <c r="L49" s="23">
        <f t="shared" si="14"/>
        <v>169596.38731327947</v>
      </c>
      <c r="M49" s="23">
        <f t="shared" si="14"/>
        <v>179772.17055207622</v>
      </c>
      <c r="N49" s="23">
        <f t="shared" si="6"/>
        <v>1676547.060320803</v>
      </c>
    </row>
    <row r="50" spans="1:15" ht="14.4" hidden="1" customHeight="1" outlineLevel="1" x14ac:dyDescent="0.3">
      <c r="A50" s="11" t="s">
        <v>16</v>
      </c>
      <c r="B50" s="25">
        <f>$B$39</f>
        <v>85155.13</v>
      </c>
      <c r="C50" s="25">
        <f>$B$39</f>
        <v>85155.13</v>
      </c>
      <c r="D50" s="25">
        <f t="shared" ref="D50:M50" si="15">$B$39</f>
        <v>85155.13</v>
      </c>
      <c r="E50" s="25">
        <f t="shared" si="15"/>
        <v>85155.13</v>
      </c>
      <c r="F50" s="25">
        <f t="shared" si="15"/>
        <v>85155.13</v>
      </c>
      <c r="G50" s="25">
        <f t="shared" si="15"/>
        <v>85155.13</v>
      </c>
      <c r="H50" s="25">
        <f t="shared" si="15"/>
        <v>85155.13</v>
      </c>
      <c r="I50" s="25">
        <f t="shared" si="15"/>
        <v>85155.13</v>
      </c>
      <c r="J50" s="25">
        <f t="shared" si="15"/>
        <v>85155.13</v>
      </c>
      <c r="K50" s="25">
        <f t="shared" si="15"/>
        <v>85155.13</v>
      </c>
      <c r="L50" s="25">
        <f t="shared" si="15"/>
        <v>85155.13</v>
      </c>
      <c r="M50" s="25">
        <f t="shared" si="15"/>
        <v>85155.13</v>
      </c>
      <c r="N50" s="23">
        <f t="shared" si="6"/>
        <v>1021861.56</v>
      </c>
    </row>
    <row r="51" spans="1:15" ht="14.4" hidden="1" customHeight="1" outlineLevel="1" x14ac:dyDescent="0.3">
      <c r="A51" s="11" t="s">
        <v>17</v>
      </c>
      <c r="B51" s="25">
        <f>$B$40</f>
        <v>39255.69</v>
      </c>
      <c r="C51" s="25">
        <f>$B$40</f>
        <v>39255.69</v>
      </c>
      <c r="D51" s="25">
        <f t="shared" ref="D51:M51" si="16">$B$40</f>
        <v>39255.69</v>
      </c>
      <c r="E51" s="25">
        <f t="shared" si="16"/>
        <v>39255.69</v>
      </c>
      <c r="F51" s="25">
        <f t="shared" si="16"/>
        <v>39255.69</v>
      </c>
      <c r="G51" s="25">
        <f t="shared" si="16"/>
        <v>39255.69</v>
      </c>
      <c r="H51" s="25">
        <f t="shared" si="16"/>
        <v>39255.69</v>
      </c>
      <c r="I51" s="25">
        <f t="shared" si="16"/>
        <v>39255.69</v>
      </c>
      <c r="J51" s="25">
        <f t="shared" si="16"/>
        <v>39255.69</v>
      </c>
      <c r="K51" s="25">
        <f t="shared" si="16"/>
        <v>39255.69</v>
      </c>
      <c r="L51" s="25">
        <f t="shared" si="16"/>
        <v>39255.69</v>
      </c>
      <c r="M51" s="25">
        <f t="shared" si="16"/>
        <v>39255.69</v>
      </c>
      <c r="N51" s="23">
        <f t="shared" si="6"/>
        <v>471068.28</v>
      </c>
    </row>
    <row r="52" spans="1:15" s="28" customFormat="1" ht="14.4" hidden="1" customHeight="1" outlineLevel="1" x14ac:dyDescent="0.3">
      <c r="A52" s="26" t="s">
        <v>18</v>
      </c>
      <c r="B52" s="29">
        <f>SUM(B49:B51)</f>
        <v>234701.33176000003</v>
      </c>
      <c r="C52" s="29">
        <f>SUM(C49:C51)</f>
        <v>239112.95223040003</v>
      </c>
      <c r="D52" s="29">
        <f t="shared" ref="D52:J52" si="17">SUM(D49:D51)</f>
        <v>243701.03751961602</v>
      </c>
      <c r="E52" s="29">
        <f t="shared" si="17"/>
        <v>248472.64622040067</v>
      </c>
      <c r="F52" s="29">
        <f t="shared" si="17"/>
        <v>253435.1192692167</v>
      </c>
      <c r="G52" s="29">
        <f t="shared" si="17"/>
        <v>258596.09123998537</v>
      </c>
      <c r="H52" s="29">
        <f t="shared" si="17"/>
        <v>263963.50208958483</v>
      </c>
      <c r="I52" s="29">
        <f t="shared" si="17"/>
        <v>269545.6093731682</v>
      </c>
      <c r="J52" s="29">
        <f t="shared" si="17"/>
        <v>275351.00094809488</v>
      </c>
      <c r="K52" s="29">
        <f t="shared" ref="K52" si="18">SUM(K49:K51)</f>
        <v>284407.4118049806</v>
      </c>
      <c r="L52" s="29">
        <f t="shared" ref="L52" si="19">SUM(L49:L51)</f>
        <v>294007.2073132795</v>
      </c>
      <c r="M52" s="29">
        <f t="shared" ref="M52" si="20">SUM(M49:M51)</f>
        <v>304182.9905520762</v>
      </c>
      <c r="N52" s="29">
        <f t="shared" si="6"/>
        <v>3169476.9003208028</v>
      </c>
    </row>
    <row r="53" spans="1:15" ht="14.4" hidden="1" customHeight="1" outlineLevel="1" x14ac:dyDescent="0.3">
      <c r="A53" s="8" t="s">
        <v>9</v>
      </c>
      <c r="B53" s="23">
        <f>B46-B52</f>
        <v>2590.3753599999764</v>
      </c>
      <c r="C53" s="23">
        <f>C46-C52</f>
        <v>7670.423174399999</v>
      </c>
      <c r="D53" s="23">
        <f t="shared" ref="D53:J53" si="21">D46-D52</f>
        <v>12953.672901376005</v>
      </c>
      <c r="E53" s="23">
        <f t="shared" si="21"/>
        <v>18448.252617431019</v>
      </c>
      <c r="F53" s="23">
        <f t="shared" si="21"/>
        <v>24162.615522128268</v>
      </c>
      <c r="G53" s="23">
        <f t="shared" si="21"/>
        <v>30105.552943013434</v>
      </c>
      <c r="H53" s="23">
        <f t="shared" si="21"/>
        <v>36286.207860733906</v>
      </c>
      <c r="I53" s="23">
        <f t="shared" si="21"/>
        <v>42714.088975163293</v>
      </c>
      <c r="J53" s="23">
        <f t="shared" si="21"/>
        <v>49399.085334169911</v>
      </c>
      <c r="K53" s="23">
        <f t="shared" ref="K53" si="22">K46-K52</f>
        <v>59827.679654220061</v>
      </c>
      <c r="L53" s="23">
        <f t="shared" ref="L53" si="23">L46-L52</f>
        <v>70881.989633473218</v>
      </c>
      <c r="M53" s="23">
        <f t="shared" ref="M53" si="24">M46-M52</f>
        <v>82599.558211481723</v>
      </c>
      <c r="N53" s="23">
        <f t="shared" si="6"/>
        <v>437639.50218759081</v>
      </c>
    </row>
    <row r="54" spans="1:15" ht="14.4" hidden="1" customHeight="1" outlineLevel="1" x14ac:dyDescent="0.3">
      <c r="A54" s="8" t="s">
        <v>19</v>
      </c>
      <c r="B54" s="30">
        <f>B53/B44</f>
        <v>7.7506564722462229E-3</v>
      </c>
      <c r="C54" s="24">
        <f>C53/C44</f>
        <v>2.2067938915621428E-2</v>
      </c>
      <c r="D54" s="24">
        <f t="shared" ref="D54:J54" si="25">D53/D44</f>
        <v>3.5834556649636008E-2</v>
      </c>
      <c r="E54" s="24">
        <f t="shared" si="25"/>
        <v>4.9071689086188391E-2</v>
      </c>
      <c r="F54" s="24">
        <f t="shared" si="25"/>
        <v>6.1799701044411938E-2</v>
      </c>
      <c r="G54" s="24">
        <f t="shared" si="25"/>
        <v>7.4038174081165406E-2</v>
      </c>
      <c r="H54" s="24">
        <f t="shared" si="25"/>
        <v>8.5805936616505041E-2</v>
      </c>
      <c r="I54" s="24">
        <f t="shared" si="25"/>
        <v>9.7121092900485664E-2</v>
      </c>
      <c r="J54" s="24">
        <f t="shared" si="25"/>
        <v>0.10800105086585179</v>
      </c>
      <c r="K54" s="24">
        <f t="shared" ref="K54" si="26">K53/K44</f>
        <v>0.12339721779797329</v>
      </c>
      <c r="L54" s="24">
        <f t="shared" ref="L54" si="27">L53/L44</f>
        <v>0.13792190358299358</v>
      </c>
      <c r="M54" s="24">
        <f t="shared" ref="M54" si="28">M53/M44</f>
        <v>0.15162443734244696</v>
      </c>
      <c r="N54" s="24">
        <f>N52/N44</f>
        <v>0.62385804840201131</v>
      </c>
    </row>
    <row r="55" spans="1:15" ht="14.4" customHeight="1" collapsed="1" x14ac:dyDescent="0.3">
      <c r="A55" s="2" t="s">
        <v>170</v>
      </c>
    </row>
    <row r="56" spans="1:15" ht="14.4" customHeight="1" x14ac:dyDescent="0.3">
      <c r="A56" t="s">
        <v>171</v>
      </c>
    </row>
    <row r="57" spans="1:15" ht="14.4" customHeight="1" x14ac:dyDescent="0.3">
      <c r="A57" t="s">
        <v>182</v>
      </c>
    </row>
    <row r="58" spans="1:15" ht="14.4" customHeight="1" x14ac:dyDescent="0.3">
      <c r="A58" t="s">
        <v>183</v>
      </c>
    </row>
    <row r="59" spans="1:15" ht="14.4" customHeight="1" x14ac:dyDescent="0.3">
      <c r="A59" t="s">
        <v>172</v>
      </c>
    </row>
    <row r="60" spans="1:15" ht="14.4" customHeight="1" x14ac:dyDescent="0.3">
      <c r="A60" t="s">
        <v>173</v>
      </c>
    </row>
    <row r="61" spans="1:15" ht="14.4" customHeight="1" x14ac:dyDescent="0.3">
      <c r="A61" t="s">
        <v>184</v>
      </c>
    </row>
    <row r="63" spans="1:15" ht="18" customHeight="1" x14ac:dyDescent="0.3">
      <c r="A63" s="37" t="s">
        <v>174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6"/>
    </row>
    <row r="64" spans="1:15" ht="14.4" customHeight="1" x14ac:dyDescent="0.3">
      <c r="A64" s="2" t="s">
        <v>175</v>
      </c>
    </row>
    <row r="65" spans="1:1" ht="14.4" customHeight="1" x14ac:dyDescent="0.3">
      <c r="A65" t="s">
        <v>176</v>
      </c>
    </row>
    <row r="66" spans="1:1" ht="14.4" customHeight="1" x14ac:dyDescent="0.3">
      <c r="A66" t="s">
        <v>177</v>
      </c>
    </row>
    <row r="67" spans="1:1" ht="14.4" customHeight="1" x14ac:dyDescent="0.3">
      <c r="A67" t="s">
        <v>178</v>
      </c>
    </row>
  </sheetData>
  <mergeCells count="9">
    <mergeCell ref="A1:H1"/>
    <mergeCell ref="A2:O2"/>
    <mergeCell ref="A63:O63"/>
    <mergeCell ref="A10:O10"/>
    <mergeCell ref="A42:O42"/>
    <mergeCell ref="A23:O23"/>
    <mergeCell ref="A22:O22"/>
    <mergeCell ref="A4:O4"/>
    <mergeCell ref="A30:O30"/>
  </mergeCells>
  <phoneticPr fontId="11" type="noConversion"/>
  <pageMargins left="0.7" right="0.7" top="0.59722222222222199" bottom="0.59722222222222199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"/>
  <sheetViews>
    <sheetView showGridLines="0" tabSelected="1" topLeftCell="A10" zoomScale="85" zoomScaleNormal="85" workbookViewId="0">
      <selection activeCell="J7" sqref="J7"/>
    </sheetView>
  </sheetViews>
  <sheetFormatPr defaultColWidth="8.88671875" defaultRowHeight="14.4" x14ac:dyDescent="0.3"/>
  <cols>
    <col min="1" max="1" width="35.77734375" style="1" customWidth="1"/>
    <col min="2" max="3" width="16.77734375" style="1" customWidth="1"/>
    <col min="4" max="13" width="14.21875" style="1" customWidth="1"/>
    <col min="14" max="14" width="17.109375" style="1" customWidth="1"/>
  </cols>
  <sheetData>
    <row r="1" spans="1:15" ht="20.25" customHeight="1" x14ac:dyDescent="0.3">
      <c r="A1" s="33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6"/>
    </row>
    <row r="3" spans="1:15" ht="18" customHeight="1" x14ac:dyDescent="0.3">
      <c r="A3" s="42" t="s">
        <v>1</v>
      </c>
      <c r="B3" s="35"/>
      <c r="C3" s="35"/>
      <c r="D3" s="35"/>
      <c r="E3" s="35"/>
    </row>
    <row r="4" spans="1:15" ht="14.4" customHeight="1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20">
        <f>D5</f>
        <v>321359.3</v>
      </c>
    </row>
    <row r="5" spans="1:15" ht="14.4" customHeight="1" x14ac:dyDescent="0.3">
      <c r="A5" t="s">
        <v>7</v>
      </c>
      <c r="B5" s="9">
        <f>Exercise!B12</f>
        <v>279724.03000000003</v>
      </c>
      <c r="C5" s="9">
        <f>Exercise!C12</f>
        <v>310806.46000000002</v>
      </c>
      <c r="D5" s="9">
        <f>Exercise!D12</f>
        <v>321359.3</v>
      </c>
      <c r="E5" s="9">
        <f>Exercise!E12</f>
        <v>911889.79</v>
      </c>
      <c r="F5" s="19">
        <f>D5*4%</f>
        <v>12854.371999999999</v>
      </c>
    </row>
    <row r="6" spans="1:15" ht="14.4" customHeight="1" x14ac:dyDescent="0.3">
      <c r="A6" t="s">
        <v>8</v>
      </c>
      <c r="B6" s="10">
        <f>Exercise!B15</f>
        <v>0.77954561143710099</v>
      </c>
      <c r="C6" s="10">
        <f>Exercise!C15</f>
        <v>0.59839106947777077</v>
      </c>
      <c r="D6" s="10">
        <f>Exercise!D15</f>
        <v>0.74800449216811216</v>
      </c>
      <c r="E6" s="10">
        <f>Exercise!E15</f>
        <v>0.70668589238179758</v>
      </c>
      <c r="F6" s="20">
        <f>SUM(F4:F5)</f>
        <v>334213.67199999996</v>
      </c>
    </row>
    <row r="7" spans="1:15" ht="14.4" customHeight="1" x14ac:dyDescent="0.3">
      <c r="A7" t="s">
        <v>9</v>
      </c>
      <c r="B7" s="9">
        <f>Exercise!B20</f>
        <v>-25526.85</v>
      </c>
      <c r="C7" s="9">
        <f>Exercise!C20</f>
        <v>-18275.36</v>
      </c>
      <c r="D7" s="9">
        <f>Exercise!D20</f>
        <v>-12369.38</v>
      </c>
      <c r="E7" s="9">
        <f>Exercise!E20</f>
        <v>-56171.59</v>
      </c>
    </row>
    <row r="9" spans="1:15" ht="18" customHeight="1" x14ac:dyDescent="0.3">
      <c r="A9" s="42" t="s">
        <v>10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6"/>
    </row>
    <row r="10" spans="1:15" ht="14.4" customHeight="1" x14ac:dyDescent="0.3">
      <c r="A10" s="14" t="s">
        <v>2</v>
      </c>
      <c r="B10" s="22">
        <f>Exercise!B43</f>
        <v>46113</v>
      </c>
      <c r="C10" s="22">
        <f>Exercise!C43</f>
        <v>46143</v>
      </c>
      <c r="D10" s="22">
        <f>Exercise!D43</f>
        <v>46174</v>
      </c>
      <c r="E10" s="22">
        <f>Exercise!E43</f>
        <v>46204</v>
      </c>
      <c r="F10" s="22">
        <f>Exercise!F43</f>
        <v>46235</v>
      </c>
      <c r="G10" s="22">
        <f>Exercise!G43</f>
        <v>46266</v>
      </c>
      <c r="H10" s="22">
        <f>Exercise!H43</f>
        <v>46296</v>
      </c>
      <c r="I10" s="22">
        <f>Exercise!I43</f>
        <v>46327</v>
      </c>
      <c r="J10" s="22">
        <f>Exercise!J43</f>
        <v>46357</v>
      </c>
      <c r="K10" s="22">
        <f>Exercise!K43</f>
        <v>46388</v>
      </c>
      <c r="L10" s="22">
        <f>Exercise!L43</f>
        <v>46419</v>
      </c>
      <c r="M10" s="22">
        <f>Exercise!M43</f>
        <v>46447</v>
      </c>
      <c r="N10" s="14" t="s">
        <v>11</v>
      </c>
    </row>
    <row r="11" spans="1:15" ht="14.4" customHeight="1" x14ac:dyDescent="0.3">
      <c r="A11" t="s">
        <v>7</v>
      </c>
      <c r="B11" s="9">
        <f>D5*(1+Exercise!B35)</f>
        <v>334213.67200000002</v>
      </c>
      <c r="C11" s="9">
        <f>B11*(1+Exercise!$B$35)</f>
        <v>347582.21888000006</v>
      </c>
      <c r="D11" s="9">
        <f>C11*(1+Exercise!$B$35)</f>
        <v>361485.50763520005</v>
      </c>
      <c r="E11" s="9">
        <f>D11*(1+Exercise!$B$35)</f>
        <v>375944.92794060806</v>
      </c>
      <c r="F11" s="9">
        <f>E11*(1+Exercise!$B$35)</f>
        <v>390982.72505823238</v>
      </c>
      <c r="G11" s="9">
        <f>F11*(1+Exercise!$B$35)</f>
        <v>406622.03406056168</v>
      </c>
      <c r="H11" s="9">
        <f>G11*(1+Exercise!$B$35)</f>
        <v>422886.91542298417</v>
      </c>
      <c r="I11" s="9">
        <f>H11*(1+Exercise!$B$35)</f>
        <v>439802.39203990356</v>
      </c>
      <c r="J11" s="9">
        <f>I11*(1+Exercise!$B$35)</f>
        <v>457394.4877214997</v>
      </c>
      <c r="K11" s="9">
        <f>J11*(1+Exercise!$B$36)</f>
        <v>484838.1569847897</v>
      </c>
      <c r="L11" s="9">
        <f>K11*(1+Exercise!$B$36)</f>
        <v>513928.44640387711</v>
      </c>
      <c r="M11" s="9">
        <f>L11*(1+Exercise!$B$36)</f>
        <v>544764.15318810975</v>
      </c>
      <c r="N11" s="9">
        <f>SUM(B11:M11)</f>
        <v>5080445.6373357652</v>
      </c>
    </row>
    <row r="12" spans="1:15" ht="14.4" customHeight="1" x14ac:dyDescent="0.3">
      <c r="A12" t="s">
        <v>12</v>
      </c>
      <c r="B12" s="9">
        <f>B11*(1-Exercise!$B$37)</f>
        <v>96921.964880000014</v>
      </c>
      <c r="C12" s="9">
        <f>C11*(1-Exercise!$B$37)</f>
        <v>100798.84347520003</v>
      </c>
      <c r="D12" s="9">
        <f>D11*(1-Exercise!$B$37)</f>
        <v>104830.79721420803</v>
      </c>
      <c r="E12" s="9">
        <f>E11*(1-Exercise!$B$37)</f>
        <v>109024.02910277635</v>
      </c>
      <c r="F12" s="9">
        <f>F11*(1-Exercise!$B$37)</f>
        <v>113384.9902668874</v>
      </c>
      <c r="G12" s="9">
        <f>G11*(1-Exercise!$B$37)</f>
        <v>117920.38987756291</v>
      </c>
      <c r="H12" s="9">
        <f>H11*(1-Exercise!$B$37)</f>
        <v>122637.20547266542</v>
      </c>
      <c r="I12" s="9">
        <f>I11*(1-Exercise!$B$37)</f>
        <v>127542.69369157204</v>
      </c>
      <c r="J12" s="9">
        <f>J11*(1-Exercise!$B$37)</f>
        <v>132644.40143923493</v>
      </c>
      <c r="K12" s="9">
        <f>K11*(1-Exercise!$B$37)</f>
        <v>140603.06552558905</v>
      </c>
      <c r="L12" s="9">
        <f>L11*(1-Exercise!$B$37)</f>
        <v>149039.24945712439</v>
      </c>
      <c r="M12" s="9">
        <f>M11*(1-Exercise!$B$37)</f>
        <v>157981.60442455186</v>
      </c>
      <c r="N12" s="9">
        <f>SUM(B12:M12)</f>
        <v>1473329.2348273722</v>
      </c>
    </row>
    <row r="13" spans="1:15" ht="14.4" customHeight="1" x14ac:dyDescent="0.3">
      <c r="A13" t="s">
        <v>13</v>
      </c>
      <c r="B13" s="9">
        <f t="shared" ref="B13:M13" si="0">B11-B12</f>
        <v>237291.70712000001</v>
      </c>
      <c r="C13" s="9">
        <f t="shared" si="0"/>
        <v>246783.37540480003</v>
      </c>
      <c r="D13" s="9">
        <f t="shared" si="0"/>
        <v>256654.71042099202</v>
      </c>
      <c r="E13" s="9">
        <f t="shared" si="0"/>
        <v>266920.89883783169</v>
      </c>
      <c r="F13" s="9">
        <f t="shared" si="0"/>
        <v>277597.73479134496</v>
      </c>
      <c r="G13" s="9">
        <f t="shared" si="0"/>
        <v>288701.6441829988</v>
      </c>
      <c r="H13" s="9">
        <f t="shared" si="0"/>
        <v>300249.70995031873</v>
      </c>
      <c r="I13" s="9">
        <f t="shared" si="0"/>
        <v>312259.6983483315</v>
      </c>
      <c r="J13" s="9">
        <f t="shared" si="0"/>
        <v>324750.08628226479</v>
      </c>
      <c r="K13" s="9">
        <f t="shared" si="0"/>
        <v>344235.09145920066</v>
      </c>
      <c r="L13" s="9">
        <f t="shared" si="0"/>
        <v>364889.19694675272</v>
      </c>
      <c r="M13" s="9">
        <f t="shared" si="0"/>
        <v>386782.54876355792</v>
      </c>
      <c r="N13" s="9">
        <f>SUM(B13:M13)</f>
        <v>3607116.4025083939</v>
      </c>
    </row>
    <row r="14" spans="1:15" s="31" customFormat="1" ht="14.4" customHeight="1" x14ac:dyDescent="0.3">
      <c r="A14" s="31" t="s">
        <v>8</v>
      </c>
      <c r="B14" s="32">
        <f t="shared" ref="B14:N14" si="1">B13/B11</f>
        <v>0.71</v>
      </c>
      <c r="C14" s="32">
        <f t="shared" si="1"/>
        <v>0.71</v>
      </c>
      <c r="D14" s="32">
        <f t="shared" si="1"/>
        <v>0.71</v>
      </c>
      <c r="E14" s="32">
        <f t="shared" si="1"/>
        <v>0.70999999999999985</v>
      </c>
      <c r="F14" s="32">
        <f t="shared" si="1"/>
        <v>0.71</v>
      </c>
      <c r="G14" s="32">
        <f t="shared" si="1"/>
        <v>0.71000000000000008</v>
      </c>
      <c r="H14" s="32">
        <f t="shared" si="1"/>
        <v>0.71</v>
      </c>
      <c r="I14" s="32">
        <f t="shared" si="1"/>
        <v>0.71</v>
      </c>
      <c r="J14" s="32">
        <f t="shared" si="1"/>
        <v>0.71</v>
      </c>
      <c r="K14" s="32">
        <f t="shared" si="1"/>
        <v>0.71</v>
      </c>
      <c r="L14" s="32">
        <f t="shared" si="1"/>
        <v>0.71</v>
      </c>
      <c r="M14" s="32">
        <f t="shared" si="1"/>
        <v>0.71</v>
      </c>
      <c r="N14" s="32">
        <f t="shared" si="1"/>
        <v>0.71000000000000008</v>
      </c>
    </row>
    <row r="15" spans="1:15" ht="14.4" customHeight="1" x14ac:dyDescent="0.3">
      <c r="A15" s="2" t="s">
        <v>14</v>
      </c>
    </row>
    <row r="16" spans="1:15" ht="14.4" customHeight="1" x14ac:dyDescent="0.3">
      <c r="A16" t="s">
        <v>15</v>
      </c>
      <c r="B16" s="9">
        <f>Exercise!$B$38*Solution!B11</f>
        <v>110290.51176000001</v>
      </c>
      <c r="C16" s="9">
        <f>Exercise!$B$38*Solution!C11</f>
        <v>114702.13223040002</v>
      </c>
      <c r="D16" s="9">
        <f>Exercise!$B$38*Solution!D11</f>
        <v>119290.21751961602</v>
      </c>
      <c r="E16" s="9">
        <f>Exercise!$B$38*Solution!E11</f>
        <v>124061.82622040066</v>
      </c>
      <c r="F16" s="9">
        <f>Exercise!$B$38*Solution!F11</f>
        <v>129024.29926921669</v>
      </c>
      <c r="G16" s="9">
        <f>Exercise!$B$38*Solution!G11</f>
        <v>134185.27123998536</v>
      </c>
      <c r="H16" s="9">
        <f>Exercise!$B$38*Solution!H11</f>
        <v>139552.68208958479</v>
      </c>
      <c r="I16" s="9">
        <f>Exercise!$B$38*Solution!I11</f>
        <v>145134.78937316817</v>
      </c>
      <c r="J16" s="9">
        <f>Exercise!$B$38*Solution!J11</f>
        <v>150940.1809480949</v>
      </c>
      <c r="K16" s="9">
        <f>Exercise!$B$38*Solution!K11</f>
        <v>159996.59180498062</v>
      </c>
      <c r="L16" s="9">
        <f>Exercise!$B$38*Solution!L11</f>
        <v>169596.38731327947</v>
      </c>
      <c r="M16" s="9">
        <f>Exercise!$B$38*Solution!M11</f>
        <v>179772.17055207622</v>
      </c>
      <c r="N16" s="9">
        <f>SUM(B16:M16)</f>
        <v>1676547.060320803</v>
      </c>
    </row>
    <row r="17" spans="1:15" ht="14.4" customHeight="1" x14ac:dyDescent="0.3">
      <c r="A17" t="s">
        <v>16</v>
      </c>
      <c r="B17" s="9">
        <f>Exercise!$B$39</f>
        <v>85155.13</v>
      </c>
      <c r="C17" s="9">
        <f>Exercise!$B$39</f>
        <v>85155.13</v>
      </c>
      <c r="D17" s="9">
        <f>Exercise!$B$39</f>
        <v>85155.13</v>
      </c>
      <c r="E17" s="9">
        <f>Exercise!$B$39</f>
        <v>85155.13</v>
      </c>
      <c r="F17" s="9">
        <f>Exercise!$B$39</f>
        <v>85155.13</v>
      </c>
      <c r="G17" s="9">
        <f>Exercise!$B$39</f>
        <v>85155.13</v>
      </c>
      <c r="H17" s="9">
        <f>Exercise!$B$39</f>
        <v>85155.13</v>
      </c>
      <c r="I17" s="9">
        <f>Exercise!$B$39</f>
        <v>85155.13</v>
      </c>
      <c r="J17" s="9">
        <f>Exercise!$B$39</f>
        <v>85155.13</v>
      </c>
      <c r="K17" s="9">
        <f>Exercise!$B$39</f>
        <v>85155.13</v>
      </c>
      <c r="L17" s="9">
        <f>Exercise!$B$39</f>
        <v>85155.13</v>
      </c>
      <c r="M17" s="9">
        <f>Exercise!$B$39</f>
        <v>85155.13</v>
      </c>
      <c r="N17" s="9">
        <f>SUM(B17:M17)</f>
        <v>1021861.56</v>
      </c>
    </row>
    <row r="18" spans="1:15" ht="14.4" customHeight="1" x14ac:dyDescent="0.3">
      <c r="A18" t="s">
        <v>17</v>
      </c>
      <c r="B18" s="9">
        <f>Exercise!$B$40</f>
        <v>39255.69</v>
      </c>
      <c r="C18" s="9">
        <f>Exercise!$B$40</f>
        <v>39255.69</v>
      </c>
      <c r="D18" s="9">
        <f>Exercise!$B$40</f>
        <v>39255.69</v>
      </c>
      <c r="E18" s="9">
        <f>Exercise!$B$40</f>
        <v>39255.69</v>
      </c>
      <c r="F18" s="9">
        <f>Exercise!$B$40</f>
        <v>39255.69</v>
      </c>
      <c r="G18" s="9">
        <f>Exercise!$B$40</f>
        <v>39255.69</v>
      </c>
      <c r="H18" s="9">
        <f>Exercise!$B$40</f>
        <v>39255.69</v>
      </c>
      <c r="I18" s="9">
        <f>Exercise!$B$40</f>
        <v>39255.69</v>
      </c>
      <c r="J18" s="9">
        <f>Exercise!$B$40</f>
        <v>39255.69</v>
      </c>
      <c r="K18" s="9">
        <f>Exercise!$B$40</f>
        <v>39255.69</v>
      </c>
      <c r="L18" s="9">
        <f>Exercise!$B$40</f>
        <v>39255.69</v>
      </c>
      <c r="M18" s="9">
        <f>Exercise!$B$40</f>
        <v>39255.69</v>
      </c>
      <c r="N18" s="9">
        <f>SUM(B18:M18)</f>
        <v>471068.28</v>
      </c>
    </row>
    <row r="19" spans="1:15" ht="14.4" customHeight="1" x14ac:dyDescent="0.3">
      <c r="A19" s="15" t="s">
        <v>18</v>
      </c>
      <c r="B19" s="16">
        <f t="shared" ref="B19:N19" si="2">SUM(B16:B18)</f>
        <v>234701.33176000003</v>
      </c>
      <c r="C19" s="16">
        <f t="shared" si="2"/>
        <v>239112.95223040003</v>
      </c>
      <c r="D19" s="16">
        <f t="shared" si="2"/>
        <v>243701.03751961602</v>
      </c>
      <c r="E19" s="16">
        <f t="shared" si="2"/>
        <v>248472.64622040067</v>
      </c>
      <c r="F19" s="16">
        <f t="shared" si="2"/>
        <v>253435.1192692167</v>
      </c>
      <c r="G19" s="16">
        <f t="shared" si="2"/>
        <v>258596.09123998537</v>
      </c>
      <c r="H19" s="16">
        <f t="shared" si="2"/>
        <v>263963.50208958483</v>
      </c>
      <c r="I19" s="16">
        <f t="shared" si="2"/>
        <v>269545.6093731682</v>
      </c>
      <c r="J19" s="16">
        <f t="shared" si="2"/>
        <v>275351.00094809488</v>
      </c>
      <c r="K19" s="16">
        <f t="shared" si="2"/>
        <v>284407.4118049806</v>
      </c>
      <c r="L19" s="16">
        <f t="shared" si="2"/>
        <v>294007.2073132795</v>
      </c>
      <c r="M19" s="16">
        <f t="shared" si="2"/>
        <v>304182.9905520762</v>
      </c>
      <c r="N19" s="16">
        <f t="shared" si="2"/>
        <v>3169476.9003208028</v>
      </c>
    </row>
    <row r="20" spans="1:15" ht="14.4" customHeight="1" x14ac:dyDescent="0.3">
      <c r="A20" t="s">
        <v>9</v>
      </c>
      <c r="B20" s="9">
        <f t="shared" ref="B20:N20" si="3">B13-B19</f>
        <v>2590.3753599999764</v>
      </c>
      <c r="C20" s="9">
        <f t="shared" si="3"/>
        <v>7670.423174399999</v>
      </c>
      <c r="D20" s="9">
        <f t="shared" si="3"/>
        <v>12953.672901376005</v>
      </c>
      <c r="E20" s="9">
        <f t="shared" si="3"/>
        <v>18448.252617431019</v>
      </c>
      <c r="F20" s="9">
        <f t="shared" si="3"/>
        <v>24162.615522128268</v>
      </c>
      <c r="G20" s="9">
        <f t="shared" si="3"/>
        <v>30105.552943013434</v>
      </c>
      <c r="H20" s="9">
        <f t="shared" si="3"/>
        <v>36286.207860733906</v>
      </c>
      <c r="I20" s="9">
        <f t="shared" si="3"/>
        <v>42714.088975163293</v>
      </c>
      <c r="J20" s="9">
        <f t="shared" si="3"/>
        <v>49399.085334169911</v>
      </c>
      <c r="K20" s="9">
        <f t="shared" si="3"/>
        <v>59827.679654220061</v>
      </c>
      <c r="L20" s="9">
        <f t="shared" si="3"/>
        <v>70881.989633473218</v>
      </c>
      <c r="M20" s="9">
        <f t="shared" si="3"/>
        <v>82599.558211481723</v>
      </c>
      <c r="N20" s="9">
        <f t="shared" si="3"/>
        <v>437639.50218759105</v>
      </c>
    </row>
    <row r="21" spans="1:15" ht="14.4" customHeight="1" x14ac:dyDescent="0.3">
      <c r="A21" t="s">
        <v>19</v>
      </c>
      <c r="B21" s="10">
        <f>B20/B11</f>
        <v>7.7506564722462229E-3</v>
      </c>
      <c r="C21" s="10">
        <f t="shared" ref="C21:N21" si="4">C20/C11</f>
        <v>2.2067938915621428E-2</v>
      </c>
      <c r="D21" s="10">
        <f t="shared" si="4"/>
        <v>3.5834556649636008E-2</v>
      </c>
      <c r="E21" s="10">
        <f t="shared" si="4"/>
        <v>4.9071689086188391E-2</v>
      </c>
      <c r="F21" s="10">
        <f t="shared" si="4"/>
        <v>6.1799701044411938E-2</v>
      </c>
      <c r="G21" s="10">
        <f t="shared" si="4"/>
        <v>7.4038174081165406E-2</v>
      </c>
      <c r="H21" s="10">
        <f t="shared" si="4"/>
        <v>8.5805936616505041E-2</v>
      </c>
      <c r="I21" s="10">
        <f t="shared" si="4"/>
        <v>9.7121092900485664E-2</v>
      </c>
      <c r="J21" s="10">
        <f t="shared" si="4"/>
        <v>0.10800105086585179</v>
      </c>
      <c r="K21" s="10">
        <f t="shared" si="4"/>
        <v>0.12339721779797329</v>
      </c>
      <c r="L21" s="10">
        <f t="shared" si="4"/>
        <v>0.13792190358299358</v>
      </c>
      <c r="M21" s="10">
        <f t="shared" si="4"/>
        <v>0.15162443734244696</v>
      </c>
      <c r="N21" s="10">
        <f t="shared" si="4"/>
        <v>8.6141951597988833E-2</v>
      </c>
    </row>
    <row r="23" spans="1:15" ht="18" customHeight="1" x14ac:dyDescent="0.3">
      <c r="A23" s="47" t="s">
        <v>20</v>
      </c>
      <c r="B23" s="35"/>
      <c r="C23" s="35"/>
      <c r="D23" s="35"/>
      <c r="E23" s="35"/>
    </row>
    <row r="24" spans="1:15" ht="14.4" customHeight="1" x14ac:dyDescent="0.3">
      <c r="A24" s="14" t="s">
        <v>21</v>
      </c>
      <c r="B24" s="17" t="s">
        <v>22</v>
      </c>
      <c r="C24" s="17" t="s">
        <v>23</v>
      </c>
      <c r="D24" s="14" t="s">
        <v>24</v>
      </c>
      <c r="E24" s="14" t="s">
        <v>25</v>
      </c>
    </row>
    <row r="25" spans="1:15" ht="14.4" customHeight="1" x14ac:dyDescent="0.3">
      <c r="A25" t="s">
        <v>7</v>
      </c>
      <c r="B25" s="9">
        <f>Exercise!C26</f>
        <v>3827931.46</v>
      </c>
      <c r="C25" s="9">
        <f>N11</f>
        <v>5080445.6373357652</v>
      </c>
      <c r="D25" s="9">
        <f>C25-B25</f>
        <v>1252514.1773357652</v>
      </c>
      <c r="E25" s="10">
        <f>D25/B25</f>
        <v>0.32720391951212346</v>
      </c>
    </row>
    <row r="26" spans="1:15" ht="14.4" customHeight="1" x14ac:dyDescent="0.3">
      <c r="A26" t="s">
        <v>9</v>
      </c>
      <c r="B26" s="9">
        <f>Exercise!C28</f>
        <v>163707.85999999999</v>
      </c>
      <c r="C26" s="9">
        <f>N20</f>
        <v>437639.50218759105</v>
      </c>
      <c r="D26" s="9">
        <f>C26-B26</f>
        <v>273931.64218759106</v>
      </c>
      <c r="E26" s="10">
        <f>D26/B26</f>
        <v>1.6732956022245424</v>
      </c>
    </row>
    <row r="27" spans="1:15" ht="14.4" customHeight="1" x14ac:dyDescent="0.3">
      <c r="A27" t="s">
        <v>19</v>
      </c>
      <c r="B27" s="10">
        <f>B26/B25</f>
        <v>4.2766664374915421E-2</v>
      </c>
      <c r="C27" s="10">
        <f>C26/C25</f>
        <v>8.6141951597988833E-2</v>
      </c>
      <c r="D27" s="10">
        <f>C27-B27</f>
        <v>4.3375287223073412E-2</v>
      </c>
      <c r="E27" s="10">
        <f>D27</f>
        <v>4.3375287223073412E-2</v>
      </c>
    </row>
    <row r="29" spans="1:15" ht="18" customHeight="1" x14ac:dyDescent="0.3">
      <c r="A29" s="46" t="s">
        <v>26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6"/>
    </row>
    <row r="30" spans="1:15" ht="14.4" customHeight="1" x14ac:dyDescent="0.3">
      <c r="A30" s="44" t="s">
        <v>27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6"/>
    </row>
    <row r="31" spans="1:15" ht="43.5" customHeight="1" x14ac:dyDescent="0.3">
      <c r="A31" s="48" t="s">
        <v>28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6"/>
    </row>
    <row r="33" spans="1:15" ht="14.4" customHeight="1" x14ac:dyDescent="0.3">
      <c r="A33" s="44" t="s">
        <v>29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6"/>
    </row>
    <row r="34" spans="1:15" ht="31.95" customHeight="1" x14ac:dyDescent="0.3">
      <c r="A34" s="49" t="s">
        <v>30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6"/>
    </row>
    <row r="36" spans="1:15" x14ac:dyDescent="0.3">
      <c r="A36" s="44" t="s">
        <v>31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/>
    </row>
    <row r="37" spans="1:15" ht="28.65" customHeight="1" x14ac:dyDescent="0.3">
      <c r="A37" s="49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6"/>
    </row>
    <row r="39" spans="1:15" ht="14.4" customHeight="1" x14ac:dyDescent="0.3">
      <c r="A39" s="44" t="s">
        <v>33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6"/>
    </row>
    <row r="40" spans="1:15" ht="14.4" customHeight="1" x14ac:dyDescent="0.3">
      <c r="A40" s="45" t="s">
        <v>34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6"/>
    </row>
    <row r="41" spans="1:15" ht="14.4" customHeight="1" x14ac:dyDescent="0.3">
      <c r="A41" s="45" t="s">
        <v>35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6"/>
    </row>
    <row r="42" spans="1:15" ht="14.4" customHeight="1" x14ac:dyDescent="0.3">
      <c r="A42" s="45" t="s">
        <v>36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6"/>
    </row>
    <row r="43" spans="1:15" ht="14.4" customHeight="1" x14ac:dyDescent="0.3">
      <c r="A43" s="45" t="s">
        <v>37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6"/>
    </row>
    <row r="45" spans="1:15" ht="18" customHeight="1" x14ac:dyDescent="0.3">
      <c r="A45" s="43" t="s">
        <v>38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6"/>
    </row>
    <row r="46" spans="1:15" ht="14.4" customHeight="1" x14ac:dyDescent="0.3">
      <c r="A46" s="45" t="s">
        <v>39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6"/>
    </row>
    <row r="47" spans="1:15" ht="14.4" customHeight="1" x14ac:dyDescent="0.3">
      <c r="A47" s="45" t="s">
        <v>40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6"/>
    </row>
    <row r="48" spans="1:15" ht="14.4" customHeight="1" x14ac:dyDescent="0.3">
      <c r="A48" s="45" t="s">
        <v>41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6"/>
    </row>
    <row r="49" spans="1:15" ht="14.4" customHeight="1" x14ac:dyDescent="0.3">
      <c r="A49" s="45" t="s">
        <v>42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6"/>
    </row>
    <row r="50" spans="1:15" ht="14.4" customHeight="1" x14ac:dyDescent="0.3">
      <c r="A50" s="45" t="s">
        <v>43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6"/>
    </row>
  </sheetData>
  <mergeCells count="22">
    <mergeCell ref="A37:O37"/>
    <mergeCell ref="A46:O46"/>
    <mergeCell ref="A50:O50"/>
    <mergeCell ref="A42:O42"/>
    <mergeCell ref="A48:O48"/>
    <mergeCell ref="A49:O49"/>
    <mergeCell ref="A1:O1"/>
    <mergeCell ref="A45:O45"/>
    <mergeCell ref="A33:O33"/>
    <mergeCell ref="A47:O47"/>
    <mergeCell ref="A3:E3"/>
    <mergeCell ref="A29:O29"/>
    <mergeCell ref="A43:O43"/>
    <mergeCell ref="A23:E23"/>
    <mergeCell ref="A31:O31"/>
    <mergeCell ref="A34:O34"/>
    <mergeCell ref="A9:O9"/>
    <mergeCell ref="A40:O40"/>
    <mergeCell ref="A30:O30"/>
    <mergeCell ref="A39:O39"/>
    <mergeCell ref="A36:O36"/>
    <mergeCell ref="A41:O41"/>
  </mergeCells>
  <pageMargins left="0.7" right="0.7" top="0.59722222222222199" bottom="0.59722222222222199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Theory</vt:lpstr>
      <vt:lpstr>Exercise</vt:lpstr>
      <vt:lpstr>Solution</vt:lpstr>
      <vt:lpstr>Exercise!Print_Area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shashnk shetty</cp:lastModifiedBy>
  <cp:revision>2</cp:revision>
  <dcterms:created xsi:type="dcterms:W3CDTF">2026-02-20T10:22:57Z</dcterms:created>
  <dcterms:modified xsi:type="dcterms:W3CDTF">2026-08-15T05:27:18Z</dcterms:modified>
  <dc:language>en-US</dc:language>
</cp:coreProperties>
</file>