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gde\Downloads\"/>
    </mc:Choice>
  </mc:AlternateContent>
  <xr:revisionPtr revIDLastSave="0" documentId="8_{6E1B3A7A-DED6-42AE-A128-43C6F694B250}" xr6:coauthVersionLast="47" xr6:coauthVersionMax="47" xr10:uidLastSave="{00000000-0000-0000-0000-000000000000}"/>
  <bookViews>
    <workbookView xWindow="-108" yWindow="-108" windowWidth="23256" windowHeight="12456" activeTab="1" xr2:uid="{ADCBAD42-83CB-45C6-A550-6DC724C4330F}"/>
  </bookViews>
  <sheets>
    <sheet name="Sheet1" sheetId="1" r:id="rId1"/>
    <sheet name="Sheet2" sheetId="2" r:id="rId2"/>
  </sheet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C20" i="2"/>
  <c r="C21" i="2"/>
  <c r="C22" i="2"/>
  <c r="C23" i="2"/>
  <c r="C24" i="2"/>
  <c r="C6" i="2" s="1"/>
  <c r="C25" i="2"/>
  <c r="C7" i="2" s="1"/>
  <c r="C19" i="2"/>
  <c r="D19" i="2" s="1"/>
  <c r="B20" i="2"/>
  <c r="B21" i="2"/>
  <c r="B22" i="2"/>
  <c r="B23" i="2"/>
  <c r="B24" i="2"/>
  <c r="B25" i="2"/>
  <c r="B19" i="2"/>
  <c r="B22" i="1"/>
  <c r="B27" i="1"/>
  <c r="B25" i="1"/>
  <c r="B24" i="1"/>
  <c r="B26" i="1" s="1"/>
  <c r="B23" i="1"/>
  <c r="B17" i="1"/>
  <c r="B16" i="1"/>
  <c r="B15" i="1"/>
  <c r="B14" i="1"/>
  <c r="B13" i="1"/>
  <c r="B12" i="1"/>
  <c r="C8" i="2" l="1"/>
  <c r="B8" i="2"/>
  <c r="C5" i="2"/>
  <c r="D5" i="2" s="1"/>
  <c r="D7" i="2"/>
  <c r="D6" i="2"/>
  <c r="D22" i="2"/>
  <c r="D21" i="2"/>
  <c r="D23" i="2"/>
  <c r="D20" i="2"/>
  <c r="D24" i="2" l="1"/>
  <c r="D25" i="2" s="1"/>
</calcChain>
</file>

<file path=xl/sharedStrings.xml><?xml version="1.0" encoding="utf-8"?>
<sst xmlns="http://schemas.openxmlformats.org/spreadsheetml/2006/main" count="108" uniqueCount="93">
  <si>
    <t>Case Study: Top-Down vs Bottom-Up Budget Comparison</t>
  </si>
  <si>
    <t>Task: Compare two different budgeting approaches for the same company and identify key differences</t>
  </si>
  <si>
    <t>Scenario: GrowthTech Inc. - FY2027 Budget</t>
  </si>
  <si>
    <t>Your task is to reconcile these two approaches and provide recommendations.</t>
  </si>
  <si>
    <t>Top-Down Budget (Leadership Target)</t>
  </si>
  <si>
    <t>Line Item</t>
  </si>
  <si>
    <t>FY2027</t>
  </si>
  <si>
    <t>% of Revenue</t>
  </si>
  <si>
    <t>Notes</t>
  </si>
  <si>
    <t>Revenue Target</t>
  </si>
  <si>
    <t>CEO Strategic Goal</t>
  </si>
  <si>
    <t>Gross Profit Target</t>
  </si>
  <si>
    <t>75% target margin</t>
  </si>
  <si>
    <t>S&amp;M Budget</t>
  </si>
  <si>
    <t>35% of revenue</t>
  </si>
  <si>
    <t>R&amp;D Budget</t>
  </si>
  <si>
    <t>20% of revenue</t>
  </si>
  <si>
    <t>G&amp;A Budget</t>
  </si>
  <si>
    <t>10% of revenue</t>
  </si>
  <si>
    <t>Total OpEx</t>
  </si>
  <si>
    <t>65% of revenue</t>
  </si>
  <si>
    <t>Target EBITDA</t>
  </si>
  <si>
    <t>10% target margin</t>
  </si>
  <si>
    <t>Bottom-Up Budget (Department Submissions)</t>
  </si>
  <si>
    <t>Revenue Plan</t>
  </si>
  <si>
    <t>Sales team forecast</t>
  </si>
  <si>
    <t>Gross Profit</t>
  </si>
  <si>
    <t>Same margin assumption</t>
  </si>
  <si>
    <t>S&amp;M Plan</t>
  </si>
  <si>
    <t>Dept. head request</t>
  </si>
  <si>
    <t>R&amp;D Plan</t>
  </si>
  <si>
    <t>G&amp;A Plan</t>
  </si>
  <si>
    <t>Higher than target</t>
  </si>
  <si>
    <t>Projected EBITDA</t>
  </si>
  <si>
    <t>Negative margin</t>
  </si>
  <si>
    <t>Analyse:</t>
  </si>
  <si>
    <t>1. Revenue Gap</t>
  </si>
  <si>
    <t>Calculate the difference between top-down and bottom-up revenue</t>
  </si>
  <si>
    <t>2. OpEx Gap</t>
  </si>
  <si>
    <t>Calculate the difference in total operating expenses</t>
  </si>
  <si>
    <t>3. Key Issues</t>
  </si>
  <si>
    <t>What are the main conflicts between the two approaches?</t>
  </si>
  <si>
    <t>4. Recommendation</t>
  </si>
  <si>
    <t>Which approach is more realistic? What adjustments are needed?</t>
  </si>
  <si>
    <t>5. Next Steps</t>
  </si>
  <si>
    <t>How would you reconcile these differences?</t>
  </si>
  <si>
    <t>Budget Approach Comparison &amp; Reconciliation</t>
  </si>
  <si>
    <t>Variance Analysis: Top-Down vs Bottom-Up</t>
  </si>
  <si>
    <t>Metric</t>
  </si>
  <si>
    <t>Top-Down</t>
  </si>
  <si>
    <t>Bottom-Up</t>
  </si>
  <si>
    <t>Variance</t>
  </si>
  <si>
    <t>Revenue</t>
  </si>
  <si>
    <t>EBITDA</t>
  </si>
  <si>
    <t>EBITDA Margin %</t>
  </si>
  <si>
    <t>Key Findings</t>
  </si>
  <si>
    <t>Recommended Reconciliation Approach</t>
  </si>
  <si>
    <t>Recommended</t>
  </si>
  <si>
    <t>Rationale</t>
  </si>
  <si>
    <t>Stretch goal: +10% above bottom-up</t>
  </si>
  <si>
    <t>Maintain 75% margin</t>
  </si>
  <si>
    <t>S&amp;M (40%)</t>
  </si>
  <si>
    <t>Invest more to hit revenue target</t>
  </si>
  <si>
    <t>R&amp;D (23%)</t>
  </si>
  <si>
    <t>Compromise between targets</t>
  </si>
  <si>
    <t>G&amp;A  (12%)</t>
  </si>
  <si>
    <t>Match gross profit exactly</t>
  </si>
  <si>
    <t>Breakeven year, invest for growth</t>
  </si>
  <si>
    <t>Implementation Steps &amp; Best Practices</t>
  </si>
  <si>
    <t>Key Learnings from This Exercise</t>
  </si>
  <si>
    <t>• Top-down budgets ensure strategic alignment but may lack operational realism</t>
  </si>
  <si>
    <t>• Bottom-up budgets are more accurate but can lead to sandbagging and empire-building</t>
  </si>
  <si>
    <t>• Successful FP&amp;A professionals bridge the gap through data-driven negotiation</t>
  </si>
  <si>
    <t>• The best budgets combine leadership vision with operational input (hybrid approach)</t>
  </si>
  <si>
    <t>• Variance analysis is essential to understand disconnects between approaches</t>
  </si>
  <si>
    <t>• Budget reconciliation requires trade-offs - not all departments can get everything</t>
  </si>
  <si>
    <t>• Communication and transparency are critical to gaining buy-in from all stakeholders</t>
  </si>
  <si>
    <t>• Build flexibility with scenarios and rolling forecasts to adapt to changing conditions</t>
  </si>
  <si>
    <r>
      <rPr>
        <b/>
        <sz val="14"/>
        <rFont val="Calibri"/>
        <family val="2"/>
        <scheme val="minor"/>
      </rPr>
      <t>4. Department Inefficiency:</t>
    </r>
    <r>
      <rPr>
        <sz val="14"/>
        <rFont val="Calibri"/>
        <family val="2"/>
        <scheme val="minor"/>
      </rPr>
      <t xml:space="preserve"> Each department exceeded their % allocation.</t>
    </r>
  </si>
  <si>
    <r>
      <rPr>
        <b/>
        <sz val="14"/>
        <rFont val="Calibri"/>
        <family val="2"/>
        <scheme val="minor"/>
      </rPr>
      <t>5. Unrealistic expectations:</t>
    </r>
    <r>
      <rPr>
        <sz val="14"/>
        <rFont val="Calibri"/>
        <family val="2"/>
        <scheme val="minor"/>
      </rPr>
      <t xml:space="preserve"> Top-down target may be too aggressive without corresponding investment in sales capacity.</t>
    </r>
  </si>
  <si>
    <r>
      <rPr>
        <b/>
        <sz val="14"/>
        <rFont val="Calibri"/>
        <family val="2"/>
        <scheme val="minor"/>
      </rPr>
      <t>1. Revenue gap:</t>
    </r>
    <r>
      <rPr>
        <sz val="14"/>
        <rFont val="Calibri"/>
        <family val="2"/>
        <scheme val="minor"/>
      </rPr>
      <t xml:space="preserve"> Bottom-up forecast is $5M (25%) below top-down target. Sales team may lack confidence or resources to hit CEO goal.</t>
    </r>
  </si>
  <si>
    <r>
      <rPr>
        <b/>
        <sz val="14"/>
        <rFont val="Calibri"/>
        <family val="2"/>
        <scheme val="minor"/>
      </rPr>
      <t xml:space="preserve">2. OpEx Overspend: </t>
    </r>
    <r>
      <rPr>
        <sz val="14"/>
        <rFont val="Calibri"/>
        <family val="2"/>
        <scheme val="minor"/>
      </rPr>
      <t xml:space="preserve"> Despite lower revenue, departments requested  more in spending. OpEx ratio is 82% vs 65% TARGET.</t>
    </r>
  </si>
  <si>
    <r>
      <rPr>
        <b/>
        <sz val="14"/>
        <rFont val="Calibri"/>
        <family val="2"/>
        <scheme val="minor"/>
      </rPr>
      <t>3. Profitability crisis:</t>
    </r>
    <r>
      <rPr>
        <sz val="14"/>
        <rFont val="Calibri"/>
        <family val="2"/>
        <scheme val="minor"/>
      </rPr>
      <t xml:space="preserve"> Bottom-up plan shows negative EBITDA of $1050000 vs target of +$2M profit. $9.5M gap.</t>
    </r>
  </si>
  <si>
    <t>Trim to 12% from deptt request</t>
  </si>
  <si>
    <r>
      <rPr>
        <b/>
        <sz val="14"/>
        <color theme="1"/>
        <rFont val="Calibri"/>
        <family val="2"/>
      </rPr>
      <t xml:space="preserve">1.Collaborate with Sales: </t>
    </r>
    <r>
      <rPr>
        <sz val="14"/>
        <color theme="1"/>
        <rFont val="Calibri"/>
        <family val="2"/>
      </rPr>
      <t>Push the sales team to commit to a $16.5M target by leveraging higher marketing and sales investments, and hire 3 to 5 additional sales representatives.</t>
    </r>
  </si>
  <si>
    <r>
      <rPr>
        <b/>
        <sz val="14"/>
        <color theme="1"/>
        <rFont val="Calibri"/>
        <family val="2"/>
      </rPr>
      <t>2.Rank R&amp;D Tasks:</t>
    </r>
    <r>
      <rPr>
        <sz val="14"/>
        <color theme="1"/>
        <rFont val="Calibri"/>
        <family val="2"/>
      </rPr>
      <t xml:space="preserve"> Delay lower-priority research and development projects to maintain development speed without exceeding the budget.</t>
    </r>
  </si>
  <si>
    <r>
      <rPr>
        <b/>
        <sz val="14"/>
        <color theme="1"/>
        <rFont val="Calibri"/>
        <family val="2"/>
      </rPr>
      <t>3.Conduct Quarterly Audits:</t>
    </r>
    <r>
      <rPr>
        <sz val="14"/>
        <color theme="1"/>
        <rFont val="Calibri"/>
        <family val="2"/>
      </rPr>
      <t xml:space="preserve"> Use rolling forecasts to review financial performance every quarter and adjust the budget based on real versus planned outcomes.</t>
    </r>
  </si>
  <si>
    <r>
      <rPr>
        <b/>
        <sz val="14"/>
        <color theme="1"/>
        <rFont val="Calibri"/>
        <family val="2"/>
      </rPr>
      <t>4.Prepare Alternative Scenarios</t>
    </r>
    <r>
      <rPr>
        <sz val="14"/>
        <color theme="1"/>
        <rFont val="Calibri"/>
        <family val="2"/>
      </rPr>
      <t>: Design plans for both best-case and worst-case outcomes. Allocate extra revenue to savings if sales hit $20M, but execute cost reductions if targets are missed.</t>
    </r>
  </si>
  <si>
    <r>
      <rPr>
        <b/>
        <sz val="14"/>
        <color theme="1"/>
        <rFont val="Calibri"/>
        <family val="2"/>
      </rPr>
      <t>5.Enforce Responsibility:</t>
    </r>
    <r>
      <rPr>
        <sz val="14"/>
        <color theme="1"/>
        <rFont val="Calibri"/>
        <family val="2"/>
      </rPr>
      <t xml:space="preserve"> Link executive bonuses directly to meeting the finalized budget, and hold monthly variance evaluation meetings with department leaders.</t>
    </r>
  </si>
  <si>
    <r>
      <rPr>
        <b/>
        <sz val="14"/>
        <color theme="1"/>
        <rFont val="Calibri"/>
        <family val="2"/>
      </rPr>
      <t>6.Keep Stakeholders Informed:</t>
    </r>
    <r>
      <rPr>
        <sz val="14"/>
        <color theme="1"/>
        <rFont val="Calibri"/>
        <family val="2"/>
      </rPr>
      <t xml:space="preserve"> Pitch the reconciled budget to the board as a strategic "Investment Year," framing a break-even result as an acceptable trade-off for scaling the business.</t>
    </r>
  </si>
  <si>
    <r>
      <rPr>
        <b/>
        <sz val="14"/>
        <color theme="1"/>
        <rFont val="Calibri"/>
        <family val="2"/>
      </rPr>
      <t>7.Set Aside Emergency Funds:</t>
    </r>
    <r>
      <rPr>
        <sz val="14"/>
        <color theme="1"/>
        <rFont val="Calibri"/>
        <family val="2"/>
      </rPr>
      <t xml:space="preserve"> Establish a 5% contingency reserve for unexpected costs, which can only be utilized with explicit CFO authorization.</t>
    </r>
  </si>
  <si>
    <t>You are the FP&amp;A Analyst at P&amp;P Inc., a mid-sized software company. The CEO wants to achieve $20 M  in annual revenue.</t>
  </si>
  <si>
    <t>Department heads have submitted their bottom-up plans totaling $12.5M in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</si>
</sst>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name val="Aptos Narrow"/>
      <family val="2"/>
    </font>
    <font>
      <b/>
      <sz val="14"/>
      <name val="Aptos Narrow"/>
      <family val="2"/>
    </font>
    <font>
      <sz val="14"/>
      <name val="Aptos Narrow"/>
      <family val="2"/>
    </font>
    <font>
      <sz val="14"/>
      <color theme="1"/>
      <name val="Calibri"/>
      <family val="2"/>
    </font>
    <font>
      <sz val="14"/>
      <color theme="4" tint="-0.249977111117893"/>
      <name val="Calibri"/>
      <family val="2"/>
      <scheme val="minor"/>
    </font>
    <font>
      <sz val="14"/>
      <color theme="4" tint="-0.249977111117893"/>
      <name val="Calibri"/>
      <family val="2"/>
    </font>
    <font>
      <sz val="14"/>
      <name val="Calibri"/>
      <family val="2"/>
      <scheme val="minor"/>
    </font>
    <font>
      <sz val="16"/>
      <color theme="1"/>
      <name val="Calibri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i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3" fillId="2" borderId="0" xfId="0" applyFont="1" applyFill="1" applyAlignment="1">
      <alignment vertical="center"/>
    </xf>
    <xf numFmtId="43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3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8" fillId="4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43" fontId="8" fillId="0" borderId="0" xfId="1" applyFont="1" applyAlignment="1">
      <alignment horizontal="center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4" fontId="5" fillId="0" borderId="0" xfId="0" applyNumberFormat="1" applyFont="1" applyAlignment="1">
      <alignment vertical="top"/>
    </xf>
    <xf numFmtId="4" fontId="14" fillId="0" borderId="0" xfId="0" applyNumberFormat="1" applyFont="1" applyAlignment="1">
      <alignment vertical="top"/>
    </xf>
    <xf numFmtId="0" fontId="2" fillId="5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65A1-46D4-408B-BC2C-19D4531BEE85}">
  <dimension ref="A1:O34"/>
  <sheetViews>
    <sheetView topLeftCell="A22" zoomScaleNormal="100" workbookViewId="0">
      <selection activeCell="G13" sqref="G13"/>
    </sheetView>
  </sheetViews>
  <sheetFormatPr defaultColWidth="8.88671875" defaultRowHeight="14.4" x14ac:dyDescent="0.3"/>
  <cols>
    <col min="1" max="1" width="38.21875" style="2" customWidth="1"/>
    <col min="2" max="3" width="21.44140625" style="2" customWidth="1"/>
    <col min="4" max="4" width="60.21875" style="2" customWidth="1"/>
    <col min="5" max="6" width="8.88671875" style="2"/>
    <col min="7" max="7" width="28.5546875" style="2" customWidth="1"/>
    <col min="8" max="16384" width="8.88671875" style="2"/>
  </cols>
  <sheetData>
    <row r="1" spans="1:15" ht="2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1" customHeight="1" x14ac:dyDescent="0.3">
      <c r="A2" s="7" t="s">
        <v>1</v>
      </c>
      <c r="B2" s="8"/>
      <c r="C2" s="8"/>
      <c r="D2" s="8"/>
    </row>
    <row r="4" spans="1:15" ht="18" x14ac:dyDescent="0.3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0"/>
      <c r="K4" s="10"/>
      <c r="L4" s="10"/>
      <c r="M4" s="10"/>
      <c r="N4" s="10"/>
    </row>
    <row r="5" spans="1:15" ht="21" customHeight="1" x14ac:dyDescent="0.3">
      <c r="A5" s="12" t="s">
        <v>91</v>
      </c>
      <c r="B5" s="13"/>
      <c r="C5" s="13"/>
      <c r="D5" s="13"/>
    </row>
    <row r="6" spans="1:15" ht="21.6" customHeight="1" x14ac:dyDescent="0.3">
      <c r="A6" s="12" t="s">
        <v>92</v>
      </c>
      <c r="B6" s="13"/>
      <c r="C6" s="13"/>
      <c r="D6" s="13"/>
    </row>
    <row r="7" spans="1:15" ht="21.6" customHeight="1" x14ac:dyDescent="0.3">
      <c r="A7" s="12" t="s">
        <v>3</v>
      </c>
      <c r="B7" s="13"/>
      <c r="C7" s="13"/>
      <c r="D7" s="13"/>
    </row>
    <row r="9" spans="1:15" ht="18" x14ac:dyDescent="0.3">
      <c r="A9" s="11" t="s">
        <v>4</v>
      </c>
      <c r="B9" s="11"/>
      <c r="C9" s="11"/>
      <c r="D9" s="11"/>
      <c r="E9" s="11"/>
      <c r="F9" s="11"/>
      <c r="G9" s="11"/>
      <c r="H9" s="11"/>
      <c r="I9" s="11"/>
      <c r="J9" s="10"/>
      <c r="K9" s="10"/>
      <c r="L9" s="10"/>
      <c r="M9" s="10"/>
      <c r="N9" s="10"/>
      <c r="O9" s="10"/>
    </row>
    <row r="10" spans="1:15" ht="15" customHeight="1" x14ac:dyDescent="0.3">
      <c r="A10" s="18" t="s">
        <v>5</v>
      </c>
      <c r="B10" s="18" t="s">
        <v>6</v>
      </c>
      <c r="C10" s="18" t="s">
        <v>7</v>
      </c>
      <c r="D10" s="18" t="s">
        <v>8</v>
      </c>
    </row>
    <row r="11" spans="1:15" ht="19.8" customHeight="1" x14ac:dyDescent="0.35">
      <c r="A11" s="22" t="s">
        <v>9</v>
      </c>
      <c r="B11" s="23">
        <v>20000000</v>
      </c>
      <c r="C11" s="22"/>
      <c r="D11" s="22" t="s">
        <v>10</v>
      </c>
    </row>
    <row r="12" spans="1:15" ht="21.6" customHeight="1" x14ac:dyDescent="0.35">
      <c r="A12" s="22" t="s">
        <v>11</v>
      </c>
      <c r="B12" s="23">
        <f>B11*C12</f>
        <v>15000000</v>
      </c>
      <c r="C12" s="24">
        <v>0.75</v>
      </c>
      <c r="D12" s="22" t="s">
        <v>12</v>
      </c>
    </row>
    <row r="13" spans="1:15" ht="19.2" customHeight="1" x14ac:dyDescent="0.35">
      <c r="A13" s="22" t="s">
        <v>13</v>
      </c>
      <c r="B13" s="23">
        <f>B11*C13</f>
        <v>7000000</v>
      </c>
      <c r="C13" s="24">
        <v>0.35</v>
      </c>
      <c r="D13" s="22" t="s">
        <v>14</v>
      </c>
    </row>
    <row r="14" spans="1:15" ht="19.2" customHeight="1" x14ac:dyDescent="0.35">
      <c r="A14" s="22" t="s">
        <v>15</v>
      </c>
      <c r="B14" s="23">
        <f>B11*C14</f>
        <v>4000000</v>
      </c>
      <c r="C14" s="24">
        <v>0.2</v>
      </c>
      <c r="D14" s="22" t="s">
        <v>16</v>
      </c>
    </row>
    <row r="15" spans="1:15" ht="19.2" customHeight="1" x14ac:dyDescent="0.35">
      <c r="A15" s="22" t="s">
        <v>17</v>
      </c>
      <c r="B15" s="23">
        <f>B11*C15</f>
        <v>2000000</v>
      </c>
      <c r="C15" s="24">
        <v>0.1</v>
      </c>
      <c r="D15" s="22" t="s">
        <v>18</v>
      </c>
    </row>
    <row r="16" spans="1:15" ht="21" customHeight="1" x14ac:dyDescent="0.35">
      <c r="A16" s="22" t="s">
        <v>19</v>
      </c>
      <c r="B16" s="23">
        <f>B13+B14+B15</f>
        <v>13000000</v>
      </c>
      <c r="C16" s="24">
        <v>0.65</v>
      </c>
      <c r="D16" s="22" t="s">
        <v>20</v>
      </c>
      <c r="G16" s="28"/>
    </row>
    <row r="17" spans="1:15" ht="20.399999999999999" customHeight="1" x14ac:dyDescent="0.35">
      <c r="A17" s="22" t="s">
        <v>21</v>
      </c>
      <c r="B17" s="23">
        <f>B11*C17</f>
        <v>2000000</v>
      </c>
      <c r="C17" s="24">
        <v>0.1</v>
      </c>
      <c r="D17" s="22" t="s">
        <v>22</v>
      </c>
    </row>
    <row r="19" spans="1:15" ht="18" x14ac:dyDescent="0.3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0"/>
      <c r="K19" s="10"/>
      <c r="L19" s="10"/>
      <c r="M19" s="10"/>
      <c r="N19" s="10"/>
      <c r="O19" s="10"/>
    </row>
    <row r="20" spans="1:15" ht="15" customHeight="1" x14ac:dyDescent="0.3">
      <c r="A20" s="19" t="s">
        <v>5</v>
      </c>
      <c r="B20" s="19" t="s">
        <v>6</v>
      </c>
      <c r="C20" s="19" t="s">
        <v>7</v>
      </c>
      <c r="D20" s="19" t="s">
        <v>8</v>
      </c>
    </row>
    <row r="21" spans="1:15" ht="21" customHeight="1" x14ac:dyDescent="0.35">
      <c r="A21" s="22" t="s">
        <v>24</v>
      </c>
      <c r="B21" s="23">
        <v>15000000</v>
      </c>
      <c r="C21" s="22"/>
      <c r="D21" s="22" t="s">
        <v>25</v>
      </c>
      <c r="G21" s="4"/>
    </row>
    <row r="22" spans="1:15" ht="21.6" customHeight="1" x14ac:dyDescent="0.35">
      <c r="A22" s="22" t="s">
        <v>26</v>
      </c>
      <c r="B22" s="23">
        <f>B21*C22</f>
        <v>11250000</v>
      </c>
      <c r="C22" s="24">
        <v>0.75</v>
      </c>
      <c r="D22" s="22" t="s">
        <v>27</v>
      </c>
      <c r="G22" s="23"/>
    </row>
    <row r="23" spans="1:15" ht="19.8" customHeight="1" x14ac:dyDescent="0.35">
      <c r="A23" s="22" t="s">
        <v>28</v>
      </c>
      <c r="B23" s="23">
        <f>B21*C23</f>
        <v>5550000</v>
      </c>
      <c r="C23" s="24">
        <v>0.37</v>
      </c>
      <c r="D23" s="22" t="s">
        <v>29</v>
      </c>
      <c r="G23" s="4"/>
    </row>
    <row r="24" spans="1:15" ht="19.8" customHeight="1" x14ac:dyDescent="0.35">
      <c r="A24" s="22" t="s">
        <v>30</v>
      </c>
      <c r="B24" s="23">
        <f>B21*C24</f>
        <v>4200000</v>
      </c>
      <c r="C24" s="24">
        <v>0.28000000000000003</v>
      </c>
      <c r="D24" s="22" t="s">
        <v>29</v>
      </c>
    </row>
    <row r="25" spans="1:15" ht="18.600000000000001" customHeight="1" x14ac:dyDescent="0.35">
      <c r="A25" s="22" t="s">
        <v>31</v>
      </c>
      <c r="B25" s="23">
        <f>B21*C25</f>
        <v>2550000</v>
      </c>
      <c r="C25" s="24">
        <v>0.17</v>
      </c>
      <c r="D25" s="22" t="s">
        <v>29</v>
      </c>
    </row>
    <row r="26" spans="1:15" ht="21.6" customHeight="1" x14ac:dyDescent="0.35">
      <c r="A26" s="22" t="s">
        <v>19</v>
      </c>
      <c r="B26" s="29">
        <f>B23+B24+B25</f>
        <v>12300000</v>
      </c>
      <c r="C26" s="24">
        <v>0.82</v>
      </c>
      <c r="D26" s="22" t="s">
        <v>32</v>
      </c>
      <c r="G26" s="4"/>
    </row>
    <row r="27" spans="1:15" ht="21.6" customHeight="1" x14ac:dyDescent="0.35">
      <c r="A27" s="22" t="s">
        <v>33</v>
      </c>
      <c r="B27" s="23">
        <f>B21*C27</f>
        <v>-1050000</v>
      </c>
      <c r="C27" s="24">
        <v>-7.0000000000000007E-2</v>
      </c>
      <c r="D27" s="22" t="s">
        <v>34</v>
      </c>
    </row>
    <row r="29" spans="1:15" ht="18" x14ac:dyDescent="0.3">
      <c r="A29" s="3" t="s">
        <v>35</v>
      </c>
      <c r="B29" s="1"/>
      <c r="C29" s="1"/>
      <c r="D29" s="1"/>
    </row>
    <row r="30" spans="1:15" ht="15" customHeight="1" x14ac:dyDescent="0.3">
      <c r="A30" s="25" t="s">
        <v>36</v>
      </c>
      <c r="B30" s="26"/>
      <c r="C30" s="8"/>
      <c r="D30" s="8" t="s">
        <v>37</v>
      </c>
    </row>
    <row r="31" spans="1:15" ht="15" customHeight="1" x14ac:dyDescent="0.3">
      <c r="A31" s="25" t="s">
        <v>38</v>
      </c>
      <c r="B31" s="26"/>
      <c r="C31" s="8"/>
      <c r="D31" s="8" t="s">
        <v>39</v>
      </c>
    </row>
    <row r="32" spans="1:15" ht="15" customHeight="1" x14ac:dyDescent="0.3">
      <c r="A32" s="25" t="s">
        <v>40</v>
      </c>
      <c r="B32" s="26"/>
      <c r="C32" s="8"/>
      <c r="D32" s="8" t="s">
        <v>41</v>
      </c>
    </row>
    <row r="33" spans="1:4" ht="15" customHeight="1" x14ac:dyDescent="0.3">
      <c r="A33" s="25" t="s">
        <v>42</v>
      </c>
      <c r="B33" s="26"/>
      <c r="C33" s="8"/>
      <c r="D33" s="8" t="s">
        <v>43</v>
      </c>
    </row>
    <row r="34" spans="1:4" ht="15" customHeight="1" x14ac:dyDescent="0.3">
      <c r="A34" s="25" t="s">
        <v>44</v>
      </c>
      <c r="B34" s="26"/>
      <c r="C34" s="8"/>
      <c r="D34" s="8" t="s">
        <v>45</v>
      </c>
    </row>
  </sheetData>
  <mergeCells count="14">
    <mergeCell ref="B33:D33"/>
    <mergeCell ref="B34:D34"/>
    <mergeCell ref="A1:O1"/>
    <mergeCell ref="A4:I4"/>
    <mergeCell ref="A9:I9"/>
    <mergeCell ref="A19:I19"/>
    <mergeCell ref="A29:D29"/>
    <mergeCell ref="B30:D30"/>
    <mergeCell ref="B31:D31"/>
    <mergeCell ref="B32:D32"/>
    <mergeCell ref="A2:D2"/>
    <mergeCell ref="A5:D5"/>
    <mergeCell ref="A6:D6"/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4A03-EE06-4F9F-9A33-098382BF8C8C}">
  <dimension ref="A1:M45"/>
  <sheetViews>
    <sheetView tabSelected="1" workbookViewId="0">
      <selection activeCell="F22" sqref="F22"/>
    </sheetView>
  </sheetViews>
  <sheetFormatPr defaultColWidth="8.88671875" defaultRowHeight="14.4" x14ac:dyDescent="0.3"/>
  <cols>
    <col min="1" max="1" width="31.44140625" style="2" customWidth="1"/>
    <col min="2" max="3" width="21.44140625" style="2" customWidth="1"/>
    <col min="4" max="4" width="30.77734375" style="2" customWidth="1"/>
    <col min="5" max="5" width="76.88671875" style="2" customWidth="1"/>
    <col min="6" max="6" width="12.44140625" style="2" bestFit="1" customWidth="1"/>
    <col min="7" max="16384" width="8.88671875" style="2"/>
  </cols>
  <sheetData>
    <row r="1" spans="1:13" ht="22.2" customHeight="1" x14ac:dyDescent="0.3">
      <c r="A1" s="9" t="s">
        <v>46</v>
      </c>
      <c r="B1" s="9"/>
      <c r="C1" s="9"/>
      <c r="D1" s="9"/>
      <c r="E1" s="9"/>
      <c r="F1" s="9"/>
      <c r="G1" s="9"/>
      <c r="H1" s="9"/>
      <c r="I1" s="9"/>
      <c r="J1" s="38"/>
      <c r="K1" s="38"/>
      <c r="L1" s="38"/>
      <c r="M1" s="38"/>
    </row>
    <row r="3" spans="1:13" ht="18" customHeight="1" x14ac:dyDescent="0.3">
      <c r="A3" s="39" t="s">
        <v>47</v>
      </c>
      <c r="B3" s="39"/>
      <c r="C3" s="39"/>
      <c r="D3" s="39"/>
      <c r="E3" s="39"/>
      <c r="F3" s="39"/>
      <c r="G3" s="39"/>
      <c r="H3" s="39"/>
      <c r="I3" s="39"/>
      <c r="J3" s="10"/>
      <c r="K3" s="10"/>
      <c r="L3" s="10"/>
      <c r="M3" s="10"/>
    </row>
    <row r="4" spans="1:13" ht="15" customHeight="1" x14ac:dyDescent="0.3">
      <c r="A4" s="14" t="s">
        <v>48</v>
      </c>
      <c r="B4" s="14" t="s">
        <v>49</v>
      </c>
      <c r="C4" s="14" t="s">
        <v>50</v>
      </c>
      <c r="D4" s="14" t="s">
        <v>51</v>
      </c>
    </row>
    <row r="5" spans="1:13" ht="20.399999999999999" customHeight="1" x14ac:dyDescent="0.3">
      <c r="A5" s="15" t="s">
        <v>52</v>
      </c>
      <c r="B5" s="16">
        <f>B19</f>
        <v>20000000</v>
      </c>
      <c r="C5" s="16">
        <f>C19</f>
        <v>15000000</v>
      </c>
      <c r="D5" s="16">
        <f>C5-B5</f>
        <v>-5000000</v>
      </c>
    </row>
    <row r="6" spans="1:13" ht="18.600000000000001" customHeight="1" x14ac:dyDescent="0.3">
      <c r="A6" s="15" t="s">
        <v>19</v>
      </c>
      <c r="B6" s="16">
        <f>B24</f>
        <v>13000000</v>
      </c>
      <c r="C6" s="16">
        <f>C24</f>
        <v>12300000</v>
      </c>
      <c r="D6" s="16">
        <f t="shared" ref="D6:D7" si="0">C6-B6</f>
        <v>-700000</v>
      </c>
    </row>
    <row r="7" spans="1:13" ht="18.600000000000001" customHeight="1" x14ac:dyDescent="0.3">
      <c r="A7" s="15" t="s">
        <v>53</v>
      </c>
      <c r="B7" s="16">
        <f>B25</f>
        <v>2000000</v>
      </c>
      <c r="C7" s="16">
        <f>C25</f>
        <v>-1050000</v>
      </c>
      <c r="D7" s="16">
        <f t="shared" si="0"/>
        <v>-3050000</v>
      </c>
    </row>
    <row r="8" spans="1:13" ht="23.4" customHeight="1" x14ac:dyDescent="0.3">
      <c r="A8" s="15" t="s">
        <v>54</v>
      </c>
      <c r="B8" s="17">
        <f>B7/B5</f>
        <v>0.1</v>
      </c>
      <c r="C8" s="17">
        <f>C7/C5</f>
        <v>-7.0000000000000007E-2</v>
      </c>
      <c r="D8" s="17"/>
    </row>
    <row r="9" spans="1:13" ht="15" customHeight="1" x14ac:dyDescent="0.3"/>
    <row r="10" spans="1:13" ht="18" customHeight="1" x14ac:dyDescent="0.3">
      <c r="A10" s="11" t="s">
        <v>55</v>
      </c>
      <c r="B10" s="11"/>
      <c r="C10" s="11"/>
      <c r="D10" s="11"/>
      <c r="E10" s="11"/>
      <c r="F10" s="11"/>
      <c r="G10" s="11"/>
      <c r="H10" s="11"/>
      <c r="I10" s="10"/>
      <c r="J10" s="10"/>
      <c r="K10" s="10"/>
      <c r="L10" s="10"/>
      <c r="M10" s="10"/>
    </row>
    <row r="11" spans="1:13" ht="20.399999999999999" customHeight="1" x14ac:dyDescent="0.3">
      <c r="A11" s="30" t="s">
        <v>80</v>
      </c>
      <c r="B11" s="30"/>
      <c r="C11" s="30"/>
      <c r="D11" s="30"/>
      <c r="E11" s="30"/>
      <c r="F11" s="30"/>
    </row>
    <row r="12" spans="1:13" ht="19.8" customHeight="1" x14ac:dyDescent="0.3">
      <c r="A12" s="30" t="s">
        <v>81</v>
      </c>
      <c r="B12" s="30"/>
      <c r="C12" s="30"/>
      <c r="D12" s="30"/>
      <c r="E12" s="30"/>
    </row>
    <row r="13" spans="1:13" ht="18.600000000000001" customHeight="1" x14ac:dyDescent="0.3">
      <c r="A13" s="30" t="s">
        <v>82</v>
      </c>
      <c r="B13" s="30"/>
      <c r="C13" s="30"/>
      <c r="D13" s="30"/>
      <c r="E13" s="30"/>
    </row>
    <row r="14" spans="1:13" ht="20.399999999999999" customHeight="1" x14ac:dyDescent="0.3">
      <c r="A14" s="30" t="s">
        <v>78</v>
      </c>
      <c r="B14" s="15"/>
      <c r="C14" s="15"/>
      <c r="D14" s="15"/>
      <c r="E14" s="15"/>
    </row>
    <row r="15" spans="1:13" ht="21.6" customHeight="1" x14ac:dyDescent="0.3">
      <c r="A15" s="30" t="s">
        <v>79</v>
      </c>
      <c r="B15" s="15"/>
      <c r="C15" s="15"/>
      <c r="D15" s="15"/>
      <c r="E15" s="15"/>
    </row>
    <row r="17" spans="1:8" ht="18" customHeight="1" x14ac:dyDescent="0.3">
      <c r="A17" s="11" t="s">
        <v>56</v>
      </c>
      <c r="B17" s="11"/>
      <c r="C17" s="11"/>
      <c r="D17" s="11"/>
      <c r="E17" s="11"/>
      <c r="F17" s="11"/>
      <c r="G17" s="11"/>
      <c r="H17" s="11"/>
    </row>
    <row r="18" spans="1:8" ht="15" customHeight="1" x14ac:dyDescent="0.3">
      <c r="A18" s="14" t="s">
        <v>5</v>
      </c>
      <c r="B18" s="14" t="s">
        <v>49</v>
      </c>
      <c r="C18" s="14" t="s">
        <v>50</v>
      </c>
      <c r="D18" s="14" t="s">
        <v>57</v>
      </c>
      <c r="E18" s="14" t="s">
        <v>58</v>
      </c>
    </row>
    <row r="19" spans="1:8" ht="18.600000000000001" customHeight="1" x14ac:dyDescent="0.3">
      <c r="A19" s="20" t="s">
        <v>52</v>
      </c>
      <c r="B19" s="21">
        <f>Sheet1!B11</f>
        <v>20000000</v>
      </c>
      <c r="C19" s="21">
        <f>Sheet1!B21</f>
        <v>15000000</v>
      </c>
      <c r="D19" s="21">
        <f>C19*1.1</f>
        <v>16500000.000000002</v>
      </c>
      <c r="E19" s="32" t="s">
        <v>59</v>
      </c>
      <c r="F19" s="4"/>
    </row>
    <row r="20" spans="1:8" ht="20.399999999999999" customHeight="1" x14ac:dyDescent="0.3">
      <c r="A20" s="33" t="s">
        <v>26</v>
      </c>
      <c r="B20" s="21">
        <f>Sheet1!B12</f>
        <v>15000000</v>
      </c>
      <c r="C20" s="21">
        <f>Sheet1!B22</f>
        <v>11250000</v>
      </c>
      <c r="D20" s="21">
        <f>D19*75%</f>
        <v>12375000.000000002</v>
      </c>
      <c r="E20" s="32" t="s">
        <v>60</v>
      </c>
    </row>
    <row r="21" spans="1:8" ht="16.8" customHeight="1" x14ac:dyDescent="0.3">
      <c r="A21" s="33" t="s">
        <v>61</v>
      </c>
      <c r="B21" s="21">
        <f>Sheet1!B13</f>
        <v>7000000</v>
      </c>
      <c r="C21" s="21">
        <f>Sheet1!B23</f>
        <v>5550000</v>
      </c>
      <c r="D21" s="21">
        <f>D19*40%</f>
        <v>6600000.0000000009</v>
      </c>
      <c r="E21" s="34" t="s">
        <v>62</v>
      </c>
      <c r="F21" s="5"/>
    </row>
    <row r="22" spans="1:8" ht="18.600000000000001" customHeight="1" x14ac:dyDescent="0.3">
      <c r="A22" s="33" t="s">
        <v>63</v>
      </c>
      <c r="B22" s="21">
        <f>Sheet1!B14</f>
        <v>4000000</v>
      </c>
      <c r="C22" s="21">
        <f>Sheet1!B24</f>
        <v>4200000</v>
      </c>
      <c r="D22" s="21">
        <f>D19*23%</f>
        <v>3795000.0000000005</v>
      </c>
      <c r="E22" s="34" t="s">
        <v>64</v>
      </c>
    </row>
    <row r="23" spans="1:8" ht="18.600000000000001" customHeight="1" x14ac:dyDescent="0.3">
      <c r="A23" s="33" t="s">
        <v>65</v>
      </c>
      <c r="B23" s="21">
        <f>Sheet1!B15</f>
        <v>2000000</v>
      </c>
      <c r="C23" s="21">
        <f>Sheet1!B25</f>
        <v>2550000</v>
      </c>
      <c r="D23" s="21">
        <f>D19*12%</f>
        <v>1980000.0000000002</v>
      </c>
      <c r="E23" s="34" t="s">
        <v>83</v>
      </c>
    </row>
    <row r="24" spans="1:8" ht="18.600000000000001" customHeight="1" x14ac:dyDescent="0.3">
      <c r="A24" s="33" t="s">
        <v>19</v>
      </c>
      <c r="B24" s="21">
        <f>Sheet1!B16</f>
        <v>13000000</v>
      </c>
      <c r="C24" s="21">
        <f>Sheet1!B26</f>
        <v>12300000</v>
      </c>
      <c r="D24" s="21">
        <f>SUM(D21:D23)</f>
        <v>12375000.000000002</v>
      </c>
      <c r="E24" s="32" t="s">
        <v>66</v>
      </c>
    </row>
    <row r="25" spans="1:8" ht="19.2" customHeight="1" x14ac:dyDescent="0.3">
      <c r="A25" s="20" t="s">
        <v>53</v>
      </c>
      <c r="B25" s="21">
        <f>Sheet1!B17</f>
        <v>2000000</v>
      </c>
      <c r="C25" s="21">
        <f>Sheet1!B27</f>
        <v>-1050000</v>
      </c>
      <c r="D25" s="21">
        <f>D20-D24</f>
        <v>0</v>
      </c>
      <c r="E25" s="32" t="s">
        <v>67</v>
      </c>
    </row>
    <row r="26" spans="1:8" ht="15" customHeight="1" x14ac:dyDescent="0.3">
      <c r="B26" s="4"/>
      <c r="C26" s="4"/>
      <c r="D26" s="4"/>
    </row>
    <row r="27" spans="1:8" ht="18" customHeight="1" x14ac:dyDescent="0.3">
      <c r="A27" s="35" t="s">
        <v>68</v>
      </c>
      <c r="B27" s="27"/>
      <c r="C27" s="27"/>
      <c r="D27" s="27"/>
      <c r="E27" s="27"/>
    </row>
    <row r="28" spans="1:8" ht="21.6" customHeight="1" x14ac:dyDescent="0.3">
      <c r="A28" s="15" t="s">
        <v>84</v>
      </c>
      <c r="B28" s="15"/>
      <c r="C28" s="15"/>
      <c r="D28" s="15"/>
      <c r="E28" s="15"/>
    </row>
    <row r="29" spans="1:8" ht="18.600000000000001" customHeight="1" x14ac:dyDescent="0.3">
      <c r="A29" s="36" t="s">
        <v>85</v>
      </c>
      <c r="B29" s="36"/>
      <c r="C29" s="36"/>
      <c r="D29" s="36"/>
      <c r="E29" s="36"/>
      <c r="H29" s="31"/>
    </row>
    <row r="30" spans="1:8" ht="19.8" customHeight="1" x14ac:dyDescent="0.3">
      <c r="A30" s="36" t="s">
        <v>86</v>
      </c>
      <c r="B30" s="36"/>
      <c r="C30" s="36"/>
      <c r="D30" s="36"/>
      <c r="E30" s="36"/>
    </row>
    <row r="31" spans="1:8" ht="16.8" customHeight="1" x14ac:dyDescent="0.3">
      <c r="A31" s="36" t="s">
        <v>87</v>
      </c>
      <c r="B31" s="36"/>
      <c r="C31" s="36"/>
      <c r="D31" s="36"/>
      <c r="E31" s="36"/>
    </row>
    <row r="32" spans="1:8" ht="19.8" customHeight="1" x14ac:dyDescent="0.3">
      <c r="A32" s="36" t="s">
        <v>88</v>
      </c>
      <c r="B32" s="36"/>
      <c r="C32" s="36"/>
      <c r="D32" s="36"/>
      <c r="E32" s="36"/>
    </row>
    <row r="33" spans="1:5" ht="16.8" customHeight="1" x14ac:dyDescent="0.3">
      <c r="A33" s="36" t="s">
        <v>89</v>
      </c>
      <c r="B33" s="36"/>
      <c r="C33" s="36"/>
      <c r="D33" s="36"/>
      <c r="E33" s="36"/>
    </row>
    <row r="34" spans="1:5" ht="19.8" customHeight="1" x14ac:dyDescent="0.3">
      <c r="A34" s="36" t="s">
        <v>90</v>
      </c>
      <c r="B34" s="36"/>
      <c r="C34" s="36"/>
      <c r="D34" s="36"/>
      <c r="E34" s="36"/>
    </row>
    <row r="35" spans="1:5" ht="15" customHeight="1" x14ac:dyDescent="0.3">
      <c r="A35" s="6"/>
    </row>
    <row r="36" spans="1:5" ht="18" customHeight="1" x14ac:dyDescent="0.3">
      <c r="A36" s="3" t="s">
        <v>69</v>
      </c>
      <c r="B36" s="1"/>
      <c r="C36" s="1"/>
      <c r="D36" s="1"/>
      <c r="E36" s="1"/>
    </row>
    <row r="37" spans="1:5" ht="21" customHeight="1" x14ac:dyDescent="0.3">
      <c r="A37" s="37" t="s">
        <v>70</v>
      </c>
      <c r="B37" s="37"/>
      <c r="C37" s="37"/>
      <c r="D37" s="37"/>
      <c r="E37" s="37"/>
    </row>
    <row r="38" spans="1:5" ht="21" customHeight="1" x14ac:dyDescent="0.3">
      <c r="A38" s="37" t="s">
        <v>71</v>
      </c>
      <c r="B38" s="37"/>
      <c r="C38" s="37"/>
      <c r="D38" s="37"/>
      <c r="E38" s="37"/>
    </row>
    <row r="39" spans="1:5" ht="22.2" customHeight="1" x14ac:dyDescent="0.3">
      <c r="A39" s="37" t="s">
        <v>72</v>
      </c>
      <c r="B39" s="37"/>
      <c r="C39" s="37"/>
      <c r="D39" s="37"/>
      <c r="E39" s="37"/>
    </row>
    <row r="40" spans="1:5" ht="18" customHeight="1" x14ac:dyDescent="0.3">
      <c r="A40" s="37" t="s">
        <v>73</v>
      </c>
      <c r="B40" s="37"/>
      <c r="C40" s="37"/>
      <c r="D40" s="37"/>
      <c r="E40" s="37"/>
    </row>
    <row r="41" spans="1:5" ht="20.399999999999999" customHeight="1" x14ac:dyDescent="0.3">
      <c r="A41" s="37" t="s">
        <v>74</v>
      </c>
      <c r="B41" s="37"/>
      <c r="C41" s="37"/>
      <c r="D41" s="37"/>
      <c r="E41" s="37"/>
    </row>
    <row r="42" spans="1:5" ht="22.8" customHeight="1" x14ac:dyDescent="0.3">
      <c r="A42" s="37" t="s">
        <v>75</v>
      </c>
      <c r="B42" s="37"/>
      <c r="C42" s="37"/>
      <c r="D42" s="37"/>
      <c r="E42" s="37"/>
    </row>
    <row r="43" spans="1:5" ht="22.8" customHeight="1" x14ac:dyDescent="0.3">
      <c r="A43" s="37" t="s">
        <v>76</v>
      </c>
      <c r="B43" s="37"/>
      <c r="C43" s="37"/>
      <c r="D43" s="37"/>
      <c r="E43" s="37"/>
    </row>
    <row r="44" spans="1:5" ht="23.4" customHeight="1" x14ac:dyDescent="0.3">
      <c r="A44" s="37" t="s">
        <v>77</v>
      </c>
      <c r="B44" s="37"/>
      <c r="C44" s="37"/>
      <c r="D44" s="37"/>
      <c r="E44" s="37"/>
    </row>
    <row r="45" spans="1:5" ht="15" customHeight="1" x14ac:dyDescent="0.3">
      <c r="A45" s="6"/>
    </row>
  </sheetData>
  <mergeCells count="14">
    <mergeCell ref="A41:E41"/>
    <mergeCell ref="A42:E42"/>
    <mergeCell ref="A43:E43"/>
    <mergeCell ref="A44:E44"/>
    <mergeCell ref="A36:E36"/>
    <mergeCell ref="A37:E37"/>
    <mergeCell ref="A38:E38"/>
    <mergeCell ref="A39:E39"/>
    <mergeCell ref="A40:E40"/>
    <mergeCell ref="A27:E27"/>
    <mergeCell ref="A17:H17"/>
    <mergeCell ref="A10:H10"/>
    <mergeCell ref="A1:I1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hegde</dc:creator>
  <cp:lastModifiedBy>prasad hegde</cp:lastModifiedBy>
  <dcterms:created xsi:type="dcterms:W3CDTF">2026-06-27T11:13:17Z</dcterms:created>
  <dcterms:modified xsi:type="dcterms:W3CDTF">2026-06-27T13:04:16Z</dcterms:modified>
</cp:coreProperties>
</file>